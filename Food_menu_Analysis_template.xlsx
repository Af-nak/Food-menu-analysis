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8_{2CA1DB3F-D225-41EC-8DC3-D4CFFC5CF5B6}" xr6:coauthVersionLast="47" xr6:coauthVersionMax="47" xr10:uidLastSave="{00000000-0000-0000-0000-000000000000}"/>
  <bookViews>
    <workbookView xWindow="-120" yWindow="-120" windowWidth="20730" windowHeight="11040" xr2:uid="{00000000-000D-0000-FFFF-FFFF00000000}"/>
  </bookViews>
  <sheets>
    <sheet name="Home" sheetId="5" r:id="rId1"/>
    <sheet name="Preference &amp; Pricing Insight" sheetId="6" r:id="rId2"/>
    <sheet name="Summary" sheetId="8" r:id="rId3"/>
    <sheet name="overview EDA" sheetId="2" r:id="rId4"/>
    <sheet name="Preference &amp; Pricing EDA" sheetId="4" r:id="rId5"/>
    <sheet name="Table" sheetId="1" r:id="rId6"/>
  </sheets>
  <definedNames>
    <definedName name="Average_Calories">'overview EDA'!$B$6</definedName>
    <definedName name="Average_Popularity_score">'overview EDA'!$B$7</definedName>
    <definedName name="Average_Rating">'overview EDA'!$B$8</definedName>
    <definedName name="Calories_info">'overview EDA'!$J$25</definedName>
    <definedName name="Drink">'Preference &amp; Pricing EDA'!$N$8</definedName>
    <definedName name="Drink_Info">'Preference &amp; Pricing EDA'!$N$13</definedName>
    <definedName name="Highest_Rated_food">'overview EDA'!$A$44</definedName>
    <definedName name="Popularity_info">'Preference &amp; Pricing EDA'!$F$28</definedName>
    <definedName name="Popularity_info_low">'Preference &amp; Pricing EDA'!$G$28</definedName>
    <definedName name="Region_info">'overview EDA'!$E$11</definedName>
    <definedName name="Slicer_Year">#N/A</definedName>
    <definedName name="Snack">'Preference &amp; Pricing EDA'!$N$7</definedName>
    <definedName name="Snack_Info">'Preference &amp; Pricing EDA'!$N$12</definedName>
    <definedName name="Soup">'Preference &amp; Pricing EDA'!$N$6</definedName>
    <definedName name="Soup_info">'Preference &amp; Pricing EDA'!$N$11</definedName>
    <definedName name="Total_Count">'overview EDA'!$B$5</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O7" i="4"/>
  <c r="O8" i="4"/>
  <c r="O6" i="4"/>
  <c r="N7" i="4"/>
  <c r="N8" i="4"/>
  <c r="N6" i="4"/>
  <c r="B34" i="2"/>
  <c r="B33" i="2"/>
  <c r="A34" i="2"/>
  <c r="A35" i="2"/>
  <c r="B35" i="2"/>
  <c r="A36" i="2"/>
  <c r="B36" i="2"/>
  <c r="A37" i="2"/>
  <c r="B37" i="2"/>
  <c r="A38" i="2"/>
  <c r="B38" i="2"/>
  <c r="A39" i="2"/>
  <c r="B39" i="2"/>
  <c r="A40" i="2"/>
  <c r="B40" i="2"/>
  <c r="A41" i="2"/>
  <c r="B41" i="2"/>
  <c r="A42" i="2"/>
  <c r="B42" i="2"/>
  <c r="I26" i="2"/>
  <c r="J26" i="2"/>
  <c r="K26" i="2"/>
  <c r="I27" i="2"/>
  <c r="J27" i="2"/>
  <c r="K27" i="2"/>
  <c r="I28" i="2"/>
  <c r="J28" i="2"/>
  <c r="K28" i="2"/>
  <c r="I29" i="2"/>
  <c r="J29" i="2"/>
  <c r="K29" i="2"/>
  <c r="I30" i="2"/>
  <c r="J30" i="2"/>
  <c r="K30" i="2"/>
  <c r="I31" i="2"/>
  <c r="J31" i="2"/>
  <c r="K31" i="2"/>
  <c r="I32" i="2"/>
  <c r="J32" i="2"/>
  <c r="K32" i="2"/>
  <c r="I33" i="2"/>
  <c r="J33" i="2"/>
  <c r="K33" i="2"/>
  <c r="I34" i="2"/>
  <c r="J34" i="2"/>
  <c r="K34" i="2"/>
  <c r="I35" i="2"/>
  <c r="J35" i="2"/>
  <c r="K35" i="2"/>
  <c r="E17" i="4"/>
  <c r="F17" i="4"/>
  <c r="G17" i="4"/>
  <c r="E18" i="4"/>
  <c r="F18" i="4"/>
  <c r="G18" i="4"/>
  <c r="E19" i="4"/>
  <c r="F19" i="4"/>
  <c r="G19" i="4"/>
  <c r="E20" i="4"/>
  <c r="F20" i="4"/>
  <c r="G20" i="4"/>
  <c r="E21" i="4"/>
  <c r="F21" i="4"/>
  <c r="G21" i="4"/>
  <c r="E22" i="4"/>
  <c r="F22" i="4"/>
  <c r="G22" i="4"/>
  <c r="E23" i="4"/>
  <c r="F23" i="4"/>
  <c r="G23" i="4"/>
  <c r="E24" i="4"/>
  <c r="F24" i="4"/>
  <c r="G24" i="4"/>
  <c r="E25" i="4"/>
  <c r="F25" i="4"/>
  <c r="G25" i="4"/>
  <c r="E26" i="4"/>
  <c r="F26" i="4"/>
  <c r="G26" i="4"/>
  <c r="B7" i="2"/>
  <c r="B8" i="2"/>
  <c r="B5" i="2"/>
  <c r="B6" i="2"/>
  <c r="A44" i="2" l="1"/>
  <c r="N13" i="4"/>
  <c r="G28" i="4"/>
  <c r="F28" i="4"/>
  <c r="I25" i="2"/>
  <c r="J25" i="2"/>
  <c r="E28" i="4"/>
  <c r="N11" i="4"/>
  <c r="N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970FA1-DD88-42A1-8922-09741BA2A036}" keepAlive="1" name="Query - Food_Menu_Table" description="Connection to the 'Food_Menu_Table' query in the workbook." type="5" refreshedVersion="8" background="1">
    <dbPr connection="Provider=Microsoft.Mashup.OleDb.1;Data Source=$Workbook$;Location=Food_Menu_Table;Extended Properties=&quot;&quot;" command="SELECT * FROM [Food_Menu_Table]"/>
  </connection>
</connections>
</file>

<file path=xl/sharedStrings.xml><?xml version="1.0" encoding="utf-8"?>
<sst xmlns="http://schemas.openxmlformats.org/spreadsheetml/2006/main" count="2138" uniqueCount="558">
  <si>
    <t>ID</t>
  </si>
  <si>
    <t>Item</t>
  </si>
  <si>
    <t>Type</t>
  </si>
  <si>
    <t>Origin</t>
  </si>
  <si>
    <t>Year</t>
  </si>
  <si>
    <t>Price (USD)</t>
  </si>
  <si>
    <t>Calories</t>
  </si>
  <si>
    <t>Rating</t>
  </si>
  <si>
    <t>Popularity_Score</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</si>
  <si>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</si>
  <si>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</si>
  <si>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</si>
  <si>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</si>
  <si>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</si>
  <si>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</si>
  <si>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</si>
  <si>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</si>
  <si>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</si>
  <si>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</si>
  <si>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</si>
  <si>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</si>
  <si>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</si>
  <si>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</si>
  <si>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</si>
  <si>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</si>
  <si>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</si>
  <si>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</si>
  <si>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</si>
  <si>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</si>
  <si>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</si>
  <si>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</si>
  <si>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</si>
  <si>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</si>
  <si>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</si>
  <si>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</si>
  <si>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</si>
  <si>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</si>
  <si>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</si>
  <si>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</si>
  <si>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</si>
  <si>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</si>
  <si>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</si>
  <si>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</si>
  <si>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</si>
  <si>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</si>
  <si>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</si>
  <si>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</si>
  <si>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</si>
  <si>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</si>
  <si>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</si>
  <si>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</si>
  <si>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</si>
  <si>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</si>
  <si>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</si>
  <si>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</si>
  <si>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</si>
  <si>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</si>
  <si>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</si>
  <si>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</si>
  <si>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</si>
  <si>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</si>
  <si>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</si>
  <si>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</si>
  <si>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</si>
  <si>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</si>
  <si>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</si>
  <si>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</si>
  <si>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</si>
  <si>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</si>
  <si>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F061</t>
  </si>
  <si>
    <t>F062</t>
  </si>
  <si>
    <t>F063</t>
  </si>
  <si>
    <t>F064</t>
  </si>
  <si>
    <t>F065</t>
  </si>
  <si>
    <t>F066</t>
  </si>
  <si>
    <t>F067</t>
  </si>
  <si>
    <t>F068</t>
  </si>
  <si>
    <t>F069</t>
  </si>
  <si>
    <t>F070</t>
  </si>
  <si>
    <t>F071</t>
  </si>
  <si>
    <t>F072</t>
  </si>
  <si>
    <t>F073</t>
  </si>
  <si>
    <t>F074</t>
  </si>
  <si>
    <t>F075</t>
  </si>
  <si>
    <t>F076</t>
  </si>
  <si>
    <t>F077</t>
  </si>
  <si>
    <t>F078</t>
  </si>
  <si>
    <t>F079</t>
  </si>
  <si>
    <t>F080</t>
  </si>
  <si>
    <t>F081</t>
  </si>
  <si>
    <t>F082</t>
  </si>
  <si>
    <t>F083</t>
  </si>
  <si>
    <t>F084</t>
  </si>
  <si>
    <t>F085</t>
  </si>
  <si>
    <t>F086</t>
  </si>
  <si>
    <t>F087</t>
  </si>
  <si>
    <t>F088</t>
  </si>
  <si>
    <t>F089</t>
  </si>
  <si>
    <t>F090</t>
  </si>
  <si>
    <t>F091</t>
  </si>
  <si>
    <t>F092</t>
  </si>
  <si>
    <t>F093</t>
  </si>
  <si>
    <t>F094</t>
  </si>
  <si>
    <t>F095</t>
  </si>
  <si>
    <t>F096</t>
  </si>
  <si>
    <t>F097</t>
  </si>
  <si>
    <t>F098</t>
  </si>
  <si>
    <t>F099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</si>
  <si>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</si>
  <si>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</si>
  <si>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</si>
  <si>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</si>
  <si>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</si>
  <si>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</si>
  <si>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</si>
  <si>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</si>
  <si>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</si>
  <si>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</si>
  <si>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</si>
  <si>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</si>
  <si>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</si>
  <si>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</si>
  <si>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</si>
  <si>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</si>
  <si>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</si>
  <si>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</si>
  <si>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</si>
  <si>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</si>
  <si>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</si>
  <si>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</si>
  <si>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</si>
  <si>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</si>
  <si>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</si>
  <si>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</si>
  <si>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</si>
  <si>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</si>
  <si>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</si>
  <si>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</si>
  <si>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</si>
  <si>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</si>
  <si>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</si>
  <si>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</si>
  <si>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</si>
  <si>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</si>
  <si>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</si>
  <si>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</si>
  <si>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</si>
  <si>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</si>
  <si>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</si>
  <si>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</si>
  <si>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</si>
  <si>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</si>
  <si>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</si>
  <si>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</si>
  <si>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</si>
  <si>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</si>
  <si>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</si>
  <si>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</si>
  <si>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</si>
  <si>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</si>
  <si>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</si>
  <si>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</si>
  <si>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</si>
  <si>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</si>
  <si>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</si>
  <si>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</si>
  <si>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</si>
  <si>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</si>
  <si>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</si>
  <si>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</si>
  <si>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</si>
  <si>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</si>
  <si>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</si>
  <si>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</si>
  <si>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</si>
  <si>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</si>
  <si>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</si>
  <si>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</si>
  <si>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</si>
  <si>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</si>
  <si>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</si>
  <si>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</si>
  <si>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</si>
  <si>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</si>
  <si>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</si>
  <si>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</si>
  <si>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</si>
  <si>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</si>
  <si>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</si>
  <si>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</si>
  <si>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</si>
  <si>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</si>
  <si>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</si>
  <si>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</si>
  <si>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</si>
  <si>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</si>
  <si>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</si>
  <si>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</si>
  <si>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</si>
  <si>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</si>
  <si>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</si>
  <si>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</si>
  <si>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</si>
  <si>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</si>
  <si>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</si>
  <si>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</si>
  <si>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</si>
  <si>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</si>
  <si>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</si>
  <si>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</si>
  <si>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</si>
  <si>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</si>
  <si>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</si>
  <si>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</si>
  <si>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</si>
  <si>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</si>
  <si>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</si>
  <si>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</si>
  <si>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</si>
  <si>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</si>
  <si>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</si>
  <si>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</si>
  <si>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</si>
  <si>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</si>
  <si>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</si>
  <si>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</si>
  <si>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</si>
  <si>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</si>
  <si>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</si>
  <si>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</si>
  <si>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</si>
  <si>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</si>
  <si>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</si>
  <si>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</si>
  <si>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</si>
  <si>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</si>
  <si>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</si>
  <si>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</si>
  <si>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</si>
  <si>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</si>
  <si>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</si>
  <si>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</si>
  <si>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</si>
  <si>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</si>
  <si>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</si>
  <si>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</si>
  <si>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</si>
  <si>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</si>
  <si>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</si>
  <si>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</si>
  <si>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</si>
  <si>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</si>
  <si>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</si>
  <si>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</si>
  <si>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</si>
  <si>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</si>
  <si>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</si>
  <si>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</si>
  <si>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</si>
  <si>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</si>
  <si>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</si>
  <si>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</si>
  <si>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</si>
  <si>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</si>
  <si>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</si>
  <si>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</si>
  <si>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</si>
  <si>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</si>
  <si>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</si>
  <si>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</si>
  <si>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</si>
  <si>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</si>
  <si>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</si>
  <si>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</si>
  <si>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</si>
  <si>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</si>
  <si>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</si>
  <si>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</si>
  <si>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</si>
  <si>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</si>
  <si>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</si>
  <si>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</si>
  <si>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</si>
  <si>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</si>
  <si>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</si>
  <si>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</si>
  <si>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</si>
  <si>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</si>
  <si>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</si>
  <si>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</si>
  <si>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</si>
  <si>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</si>
  <si>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</si>
  <si>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</si>
  <si>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</si>
  <si>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</si>
  <si>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</si>
  <si>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</si>
  <si>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</si>
  <si>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</si>
  <si>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</si>
  <si>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</si>
  <si>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</si>
  <si>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</si>
  <si>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</si>
  <si>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</si>
  <si>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</si>
  <si>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</si>
  <si>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</si>
  <si>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</si>
  <si>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</si>
  <si>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</si>
  <si>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</si>
  <si>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</si>
  <si>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</si>
  <si>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</si>
  <si>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</si>
  <si>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</si>
  <si>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</si>
  <si>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</si>
  <si>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</si>
  <si>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</si>
  <si>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</si>
  <si>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</si>
  <si>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</si>
  <si>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</si>
  <si>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</si>
  <si>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</si>
  <si>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</si>
  <si>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</si>
  <si>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</si>
  <si>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F323</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</si>
  <si>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</si>
  <si>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</si>
  <si>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</si>
  <si>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</si>
  <si>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</si>
  <si>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</si>
  <si>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</si>
  <si>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</si>
  <si>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</si>
  <si>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</si>
  <si>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</si>
  <si>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</si>
  <si>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</si>
  <si>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</si>
  <si>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</si>
  <si>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</si>
  <si>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</si>
  <si>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</si>
  <si>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</si>
  <si>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</si>
  <si>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</si>
  <si>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</si>
  <si>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F346</t>
  </si>
  <si>
    <t>F347</t>
  </si>
  <si>
    <t>F348</t>
  </si>
  <si>
    <t>F349</t>
  </si>
  <si>
    <t>F350</t>
  </si>
  <si>
    <t>F351</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</si>
  <si>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</si>
  <si>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</si>
  <si>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</si>
  <si>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</si>
  <si>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</si>
  <si>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</si>
  <si>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</si>
  <si>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</si>
  <si>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</si>
  <si>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</si>
  <si>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</si>
  <si>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</si>
  <si>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</si>
  <si>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</si>
  <si>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</si>
  <si>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</si>
  <si>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</si>
  <si>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</si>
  <si>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</si>
  <si>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</si>
  <si>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</si>
  <si>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</si>
  <si>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</si>
  <si>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</si>
  <si>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</si>
  <si>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</si>
  <si>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</si>
  <si>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</si>
  <si>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</si>
  <si>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</si>
  <si>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</si>
  <si>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</si>
  <si>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</si>
  <si>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</si>
  <si>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</si>
  <si>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</si>
  <si>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</si>
  <si>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</si>
  <si>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</si>
  <si>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</si>
  <si>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</si>
  <si>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</si>
  <si>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</si>
  <si>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</si>
  <si>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</si>
  <si>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</si>
  <si>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</si>
  <si>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</si>
  <si>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</si>
  <si>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</si>
  <si>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</si>
  <si>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</si>
  <si>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</si>
  <si>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</si>
  <si>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</si>
  <si>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</si>
  <si>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</si>
  <si>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</si>
  <si>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</si>
  <si>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</si>
  <si>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</si>
  <si>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</si>
  <si>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</si>
  <si>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</si>
  <si>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</si>
  <si>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</si>
  <si>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</si>
  <si>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</si>
  <si>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</si>
  <si>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</si>
  <si>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</si>
  <si>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</si>
  <si>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</si>
  <si>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</si>
  <si>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</si>
  <si>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</si>
  <si>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</si>
  <si>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F429</t>
  </si>
  <si>
    <t>F430</t>
  </si>
  <si>
    <t>F431</t>
  </si>
  <si>
    <t>F432</t>
  </si>
  <si>
    <t>F433</t>
  </si>
  <si>
    <t>F434</t>
  </si>
  <si>
    <t>F435</t>
  </si>
  <si>
    <t>F436</t>
  </si>
  <si>
    <t>F437</t>
  </si>
  <si>
    <t>F438</t>
  </si>
  <si>
    <t>F439</t>
  </si>
  <si>
    <t>F440</t>
  </si>
  <si>
    <t>F441</t>
  </si>
  <si>
    <t>F442</t>
  </si>
  <si>
    <t>F443</t>
  </si>
  <si>
    <t>F444</t>
  </si>
  <si>
    <t>F445</t>
  </si>
  <si>
    <t>F446</t>
  </si>
  <si>
    <t>F447</t>
  </si>
  <si>
    <t>F448</t>
  </si>
  <si>
    <t>F449</t>
  </si>
  <si>
    <t>F450</t>
  </si>
  <si>
    <t>F451</t>
  </si>
  <si>
    <t>F452</t>
  </si>
  <si>
    <t>F453</t>
  </si>
  <si>
    <t>F454</t>
  </si>
  <si>
    <t>F455</t>
  </si>
  <si>
    <t>F456</t>
  </si>
  <si>
    <t>F457</t>
  </si>
  <si>
    <t>F458</t>
  </si>
  <si>
    <t>F459</t>
  </si>
  <si>
    <t>F460</t>
  </si>
  <si>
    <t>F461</t>
  </si>
  <si>
    <t>F462</t>
  </si>
  <si>
    <t>F463</t>
  </si>
  <si>
    <t>F464</t>
  </si>
  <si>
    <t>F465</t>
  </si>
  <si>
    <t>F466</t>
  </si>
  <si>
    <t>F467</t>
  </si>
  <si>
    <t>F468</t>
  </si>
  <si>
    <t>F469</t>
  </si>
  <si>
    <t>F470</t>
  </si>
  <si>
    <t>F471</t>
  </si>
  <si>
    <t>F472</t>
  </si>
  <si>
    <t>F473</t>
  </si>
  <si>
    <t>F474</t>
  </si>
  <si>
    <t>F475</t>
  </si>
  <si>
    <t>F476</t>
  </si>
  <si>
    <t>F477</t>
  </si>
  <si>
    <t>F478</t>
  </si>
  <si>
    <t>F479</t>
  </si>
  <si>
    <t>F480</t>
  </si>
  <si>
    <t>F481</t>
  </si>
  <si>
    <t>F482</t>
  </si>
  <si>
    <t>F483</t>
  </si>
  <si>
    <t>F484</t>
  </si>
  <si>
    <t>F485</t>
  </si>
  <si>
    <t>F486</t>
  </si>
  <si>
    <t>F487</t>
  </si>
  <si>
    <t>F488</t>
  </si>
  <si>
    <t>F489</t>
  </si>
  <si>
    <t>F490</t>
  </si>
  <si>
    <t>F491</t>
  </si>
  <si>
    <t>F492</t>
  </si>
  <si>
    <t>F493</t>
  </si>
  <si>
    <t>F494</t>
  </si>
  <si>
    <t>F495</t>
  </si>
  <si>
    <t>F496</t>
  </si>
  <si>
    <t>F497</t>
  </si>
  <si>
    <t>F498</t>
  </si>
  <si>
    <t>F499</t>
  </si>
  <si>
    <t>F500</t>
  </si>
  <si>
    <t>Chicken Noodle Soup</t>
  </si>
  <si>
    <t>Milkshake</t>
  </si>
  <si>
    <t>Potato Chips</t>
  </si>
  <si>
    <t>Orange Juice</t>
  </si>
  <si>
    <t>Tomato Soup</t>
  </si>
  <si>
    <t>Chocolate Bar</t>
  </si>
  <si>
    <t>Cola Drink</t>
  </si>
  <si>
    <t>Popcorn</t>
  </si>
  <si>
    <t>Ice Cream</t>
  </si>
  <si>
    <t>Mushroom Soup</t>
  </si>
  <si>
    <t>Soup</t>
  </si>
  <si>
    <t>Drink</t>
  </si>
  <si>
    <t>Snack</t>
  </si>
  <si>
    <t>Dessert</t>
  </si>
  <si>
    <t>Canada</t>
  </si>
  <si>
    <t>China</t>
  </si>
  <si>
    <t>USA</t>
  </si>
  <si>
    <t>Japan</t>
  </si>
  <si>
    <t>India</t>
  </si>
  <si>
    <t>Italy</t>
  </si>
  <si>
    <t>France</t>
  </si>
  <si>
    <t>UK</t>
  </si>
  <si>
    <t>Switzerland</t>
  </si>
  <si>
    <t>Germany</t>
  </si>
  <si>
    <t>Row Labels</t>
  </si>
  <si>
    <t>Grand Total</t>
  </si>
  <si>
    <t>Count of ID</t>
  </si>
  <si>
    <t>Average of Calories</t>
  </si>
  <si>
    <t>Sum of Popularity_Score</t>
  </si>
  <si>
    <t>Average of Popularity_Score</t>
  </si>
  <si>
    <t>Average of Rating</t>
  </si>
  <si>
    <t>Max of Price (USD)</t>
  </si>
  <si>
    <t>Column Labels</t>
  </si>
  <si>
    <t>Count of Item</t>
  </si>
  <si>
    <t>Average of Price (USD)</t>
  </si>
  <si>
    <t>Overall</t>
  </si>
  <si>
    <t>KPI Names</t>
  </si>
  <si>
    <t>Value</t>
  </si>
  <si>
    <t>Total Count</t>
  </si>
  <si>
    <t>Average Popularity score</t>
  </si>
  <si>
    <t>Average Calories</t>
  </si>
  <si>
    <t>Average Rating</t>
  </si>
  <si>
    <t>Food Type</t>
  </si>
  <si>
    <t>Top</t>
  </si>
  <si>
    <t>Snack Info</t>
  </si>
  <si>
    <t>Soup info</t>
  </si>
  <si>
    <t>Drink Info</t>
  </si>
  <si>
    <t>Info</t>
  </si>
  <si>
    <t>Preference &amp; Pricing 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</si>
</sst>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quot;$&quot;* #,##0_);_(&quot;$&quot;* \(#,##0\);_(&quot;$&quot;* &quot;-&quot;??_);_(@_)"/>
    <numFmt numFmtId="165" formatCode="0.0"/>
    <numFmt numFmtId="166" formatCode="_(&quot;$&quot;* #,##0.0_);_(&quot;$&quot;* \(#,##0.0\);_(&quot;$&quot;* &quot;-&quot;??_);_(@_)"/>
  </numFmts>
  <fonts count="9" x14ac:knownFonts="1">
    <font>
      <sz val="11"/>
      <color theme="1"/>
      <name val="Calibri"/>
      <family val="2"/>
      <scheme val="minor"/>
    </font>
    <font>
      <b/>
      <sz val="11"/>
      <color theme="1"/>
      <name val="Calibri"/>
      <family val="2"/>
      <scheme val="minor"/>
    </font>
    <font>
      <sz val="10.5"/>
      <color rgb="FFFFFFFF"/>
      <name val="Aharoni"/>
      <charset val="177"/>
    </font>
    <font>
      <sz val="11"/>
      <color rgb="FFFF0000"/>
      <name val="Calibri"/>
      <family val="2"/>
      <scheme val="minor"/>
    </font>
    <font>
      <sz val="11"/>
      <color theme="0"/>
      <name val="Calibri"/>
      <family val="2"/>
      <scheme val="minor"/>
    </font>
    <font>
      <sz val="11"/>
      <name val="Calibri"/>
      <family val="2"/>
      <scheme val="minor"/>
    </font>
    <font>
      <sz val="10.5"/>
      <name val="Calibri"/>
      <family val="2"/>
      <scheme val="minor"/>
    </font>
    <font>
      <sz val="12"/>
      <color theme="1"/>
      <name val="Calibri"/>
      <family val="2"/>
      <scheme val="minor"/>
    </font>
    <font>
      <sz val="12"/>
      <name val="Calibri"/>
      <family val="2"/>
      <scheme val="minor"/>
    </font>
  </fonts>
  <fills count="4">
    <fill>
      <patternFill patternType="none"/>
    </fill>
    <fill>
      <patternFill patternType="gray125"/>
    </fill>
    <fill>
      <patternFill patternType="solid">
        <fgColor rgb="FFBBF8AA"/>
        <bgColor indexed="64"/>
      </patternFill>
    </fill>
    <fill>
      <patternFill patternType="solid">
        <fgColor rgb="FF00B05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165" fontId="0" fillId="0" borderId="0" xfId="0" applyNumberFormat="1"/>
    <xf numFmtId="1" fontId="0" fillId="0" borderId="0" xfId="0" applyNumberFormat="1"/>
    <xf numFmtId="10" fontId="0" fillId="0" borderId="0" xfId="0" applyNumberFormat="1"/>
    <xf numFmtId="9" fontId="0" fillId="0" borderId="0" xfId="0" applyNumberFormat="1"/>
    <xf numFmtId="0" fontId="0" fillId="2" borderId="0" xfId="0" applyFill="1"/>
    <xf numFmtId="2" fontId="0" fillId="0" borderId="0" xfId="0" applyNumberFormat="1"/>
    <xf numFmtId="166" fontId="0" fillId="0" borderId="0" xfId="0" applyNumberFormat="1"/>
    <xf numFmtId="0" fontId="2" fillId="0" borderId="0" xfId="0" applyFont="1"/>
    <xf numFmtId="0" fontId="5" fillId="0" borderId="0" xfId="0" applyFont="1"/>
    <xf numFmtId="0" fontId="6" fillId="0" borderId="0" xfId="0" applyFont="1" applyAlignment="1">
      <alignment vertical="center" readingOrder="1"/>
    </xf>
    <xf numFmtId="0" fontId="7" fillId="0" borderId="0" xfId="0" applyFont="1"/>
    <xf numFmtId="0" fontId="8" fillId="0" borderId="0" xfId="0" applyFont="1"/>
    <xf numFmtId="165" fontId="3" fillId="0" borderId="0" xfId="0" applyNumberFormat="1" applyFont="1"/>
    <xf numFmtId="0" fontId="4" fillId="3" borderId="0" xfId="0" applyFont="1" applyFill="1"/>
  </cellXfs>
  <cellStyles count="1">
    <cellStyle name="Normal" xfId="0" builtinId="0"/>
  </cellStyles>
  <dxfs count="45">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quot;$&quot;* #,##0_);_(&quot;$&quot;* \(#,##0\);_(&quot;$&quot;* &quot;-&quot;??_);_(@_)"/>
    </dxf>
    <dxf>
      <numFmt numFmtId="34" formatCode="_(&quot;$&quot;* #,##0.00_);_(&quot;$&quot;* \(#,##0.00\);_(&quot;$&quot;* &quot;-&quot;??_);_(@_)"/>
    </dxf>
    <dxf>
      <numFmt numFmtId="2" formatCode="0.00"/>
    </dxf>
    <dxf>
      <numFmt numFmtId="0" formatCode="General"/>
    </dxf>
    <dxf>
      <numFmt numFmtId="0" formatCode="General"/>
    </dxf>
    <dxf>
      <numFmt numFmtId="0" formatCode="General"/>
    </dxf>
    <dxf>
      <numFmt numFmtId="0" formatCode="General"/>
    </dxf>
    <dxf>
      <numFmt numFmtId="165" formatCode="0.0"/>
    </dxf>
    <dxf>
      <numFmt numFmtId="165" formatCode="0.0"/>
    </dxf>
    <dxf>
      <numFmt numFmtId="0" formatCode="General"/>
    </dxf>
    <dxf>
      <numFmt numFmtId="1" formatCode="0"/>
    </dxf>
    <dxf>
      <numFmt numFmtId="0" formatCode="General"/>
    </dxf>
    <dxf>
      <numFmt numFmtId="0" formatCode="General"/>
    </dxf>
    <dxf>
      <numFmt numFmtId="0" formatCode="General"/>
    </dxf>
    <dxf>
      <numFmt numFmtId="1" formatCode="0"/>
    </dxf>
    <dxf>
      <numFmt numFmtId="165" formatCode="0.0"/>
    </dxf>
    <dxf>
      <numFmt numFmtId="164" formatCode="_(&quot;$&quot;* #,##0_);_(&quot;$&quot;* \(#,##0\);_(&quot;$&quot;* &quot;-&quot;??_);_(@_)"/>
    </dxf>
    <dxf>
      <numFmt numFmtId="165" formatCode="0.0"/>
    </dxf>
    <dxf>
      <numFmt numFmtId="0" formatCode="General"/>
    </dxf>
    <dxf>
      <numFmt numFmtId="1" formatCode="0"/>
    </dxf>
    <dxf>
      <numFmt numFmtId="165" formatCode="0.0"/>
    </dxf>
    <dxf>
      <numFmt numFmtId="0" formatCode="General"/>
    </dxf>
    <dxf>
      <numFmt numFmtId="165" formatCode="0.0"/>
    </dxf>
    <dxf>
      <numFmt numFmtId="1" formatCode="0"/>
    </dxf>
    <dxf>
      <numFmt numFmtId="165" formatCode="0.0"/>
    </dxf>
    <dxf>
      <numFmt numFmtId="0" formatCode="General"/>
    </dxf>
    <dxf>
      <numFmt numFmtId="13" formatCode="0%"/>
    </dxf>
    <dxf>
      <numFmt numFmtId="14" formatCode="0.00%"/>
    </dxf>
    <dxf>
      <numFmt numFmtId="0" formatCode="General"/>
    </dxf>
    <dxf>
      <numFmt numFmtId="0" formatCode="General"/>
    </dxf>
    <dxf>
      <numFmt numFmtId="165" formatCode="0.0"/>
    </dxf>
    <dxf>
      <numFmt numFmtId="1" formatCode="0"/>
    </dxf>
    <dxf>
      <numFmt numFmtId="165" formatCode="0.0"/>
    </dxf>
    <dxf>
      <numFmt numFmtId="0" formatCode="General"/>
    </dxf>
    <dxf>
      <numFmt numFmtId="166" formatCode="_(&quot;$&quot;* #,##0.0_);_(&quot;$&quot;* \(#,##0.0\);_(&quot;$&quot;* &quot;-&quot;??_);_(@_)"/>
    </dxf>
    <dxf>
      <numFmt numFmtId="0" formatCode="General"/>
    </dxf>
    <dxf>
      <numFmt numFmtId="165" formatCode="0.0"/>
    </dxf>
    <dxf>
      <numFmt numFmtId="1" formatCode="0"/>
    </dxf>
    <dxf>
      <numFmt numFmtId="165" formatCode="0.0"/>
    </dxf>
    <dxf>
      <numFmt numFmtId="0" formatCode="General"/>
    </dxf>
    <dxf>
      <font>
        <b/>
        <color theme="1"/>
      </font>
      <border>
        <bottom style="thin">
          <color theme="6"/>
        </bottom>
        <vertical/>
        <horizontal/>
      </border>
    </dxf>
    <dxf>
      <font>
        <b val="0"/>
        <i val="0"/>
        <sz val="10"/>
        <color theme="0"/>
      </font>
      <fill>
        <patternFill>
          <fgColor theme="0"/>
        </patternFill>
      </fill>
      <border diagonalUp="0" diagonalDown="0">
        <left/>
        <right/>
        <top/>
        <bottom/>
        <vertical/>
        <horizontal/>
      </border>
    </dxf>
  </dxfs>
  <tableStyles count="1" defaultTableStyle="TableStyleMedium9" defaultPivotStyle="PivotStyleLight16">
    <tableStyle name="SlicerStyleDark3 2" pivot="0" table="0" count="10" xr9:uid="{E030E22A-E52C-4995-83B6-03BB9831C837}">
      <tableStyleElement type="wholeTable" dxfId="44"/>
      <tableStyleElement type="headerRow" dxfId="43"/>
    </tableStyle>
  </tableStyles>
  <colors>
    <mruColors>
      <color rgb="FFAFDC7E"/>
      <color rgb="FFBEFDB9"/>
      <color rgb="FFBBF8AA"/>
      <color rgb="FF006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6600"/>
          </font>
          <fill>
            <patternFill patternType="solid">
              <fgColor rgb="FFBBF8AA"/>
              <bgColor rgb="FFBBF8AA"/>
            </patternFill>
          </fill>
          <border>
            <left style="thin">
              <color rgb="FF999999"/>
            </left>
            <right style="thin">
              <color rgb="FF999999"/>
            </right>
            <top style="thin">
              <color rgb="FF999999"/>
            </top>
            <bottom style="thin">
              <color rgb="FF999999"/>
            </bottom>
            <vertical/>
            <horizontal/>
          </border>
        </dxf>
        <dxf>
          <font>
            <color rgb="FF006600"/>
          </font>
          <fill>
            <patternFill patternType="solid">
              <fgColor auto="1"/>
              <bgColor rgb="FFBBF8AA"/>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AFDC7E"/>
              <bgColor rgb="FF00660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6600"/>
          </font>
          <fill>
            <patternFill patternType="solid">
              <fgColor rgb="FFAFDC7E"/>
              <bgColor rgb="FFAFDC7E"/>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2.png"/><Relationship Id="rId7" Type="http://schemas.openxmlformats.org/officeDocument/2006/relationships/image" Target="../media/image7.png"/><Relationship Id="rId2" Type="http://schemas.openxmlformats.org/officeDocument/2006/relationships/image" Target="../media/image12.jpeg"/><Relationship Id="rId1" Type="http://schemas.openxmlformats.org/officeDocument/2006/relationships/image" Target="../media/image11.jpeg"/><Relationship Id="rId6" Type="http://schemas.openxmlformats.org/officeDocument/2006/relationships/image" Target="../media/image6.png"/><Relationship Id="rId5" Type="http://schemas.openxmlformats.org/officeDocument/2006/relationships/image" Target="../media/image13.jpeg"/><Relationship Id="rId10" Type="http://schemas.openxmlformats.org/officeDocument/2006/relationships/image" Target="../media/image10.jpeg"/><Relationship Id="rId4" Type="http://schemas.openxmlformats.org/officeDocument/2006/relationships/image" Target="../media/image1.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176893</xdr:colOff>
      <xdr:row>0</xdr:row>
      <xdr:rowOff>13607</xdr:rowOff>
    </xdr:from>
    <xdr:to>
      <xdr:col>22</xdr:col>
      <xdr:colOff>517073</xdr:colOff>
      <xdr:row>38</xdr:row>
      <xdr:rowOff>27214</xdr:rowOff>
    </xdr:to>
    <xdr:sp macro="" textlink="">
      <xdr:nvSpPr>
        <xdr:cNvPr id="22" name="Rectangle 21">
          <a:extLst>
            <a:ext uri="{FF2B5EF4-FFF2-40B4-BE49-F238E27FC236}">
              <a16:creationId xmlns:a16="http://schemas.microsoft.com/office/drawing/2014/main" id="{BEE46B6A-AC04-7AB2-CFF2-D176562A45C0}"/>
            </a:ext>
          </a:extLst>
        </xdr:cNvPr>
        <xdr:cNvSpPr/>
      </xdr:nvSpPr>
      <xdr:spPr>
        <a:xfrm>
          <a:off x="1401536" y="13607"/>
          <a:ext cx="12586608" cy="7252607"/>
        </a:xfrm>
        <a:prstGeom prst="rect">
          <a:avLst/>
        </a:prstGeom>
        <a:solidFill>
          <a:srgbClr val="BBF8AA"/>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210451</xdr:colOff>
      <xdr:row>1</xdr:row>
      <xdr:rowOff>43621</xdr:rowOff>
    </xdr:from>
    <xdr:to>
      <xdr:col>22</xdr:col>
      <xdr:colOff>169624</xdr:colOff>
      <xdr:row>36</xdr:row>
      <xdr:rowOff>66309</xdr:rowOff>
    </xdr:to>
    <xdr:sp macro="" textlink="">
      <xdr:nvSpPr>
        <xdr:cNvPr id="2" name="Rectangle: Rounded Corners 1">
          <a:extLst>
            <a:ext uri="{FF2B5EF4-FFF2-40B4-BE49-F238E27FC236}">
              <a16:creationId xmlns:a16="http://schemas.microsoft.com/office/drawing/2014/main" id="{060892F1-A995-B48B-512A-0E95569E9604}"/>
            </a:ext>
          </a:extLst>
        </xdr:cNvPr>
        <xdr:cNvSpPr/>
      </xdr:nvSpPr>
      <xdr:spPr>
        <a:xfrm>
          <a:off x="2047415" y="234121"/>
          <a:ext cx="11593280" cy="6690188"/>
        </a:xfrm>
        <a:prstGeom prst="roundRect">
          <a:avLst>
            <a:gd name="adj" fmla="val 2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482287</xdr:colOff>
      <xdr:row>9</xdr:row>
      <xdr:rowOff>16357</xdr:rowOff>
    </xdr:from>
    <xdr:to>
      <xdr:col>3</xdr:col>
      <xdr:colOff>397967</xdr:colOff>
      <xdr:row>28</xdr:row>
      <xdr:rowOff>16475</xdr:rowOff>
    </xdr:to>
    <xdr:sp macro="" textlink="">
      <xdr:nvSpPr>
        <xdr:cNvPr id="3" name="Rectangle: Rounded Corners 2">
          <a:extLst>
            <a:ext uri="{FF2B5EF4-FFF2-40B4-BE49-F238E27FC236}">
              <a16:creationId xmlns:a16="http://schemas.microsoft.com/office/drawing/2014/main" id="{94C27759-8BCA-28EA-D684-EEA09A9B08C3}"/>
            </a:ext>
          </a:extLst>
        </xdr:cNvPr>
        <xdr:cNvSpPr/>
      </xdr:nvSpPr>
      <xdr:spPr>
        <a:xfrm>
          <a:off x="1714934" y="1781283"/>
          <a:ext cx="532004" cy="3726074"/>
        </a:xfrm>
        <a:prstGeom prst="roundRect">
          <a:avLst>
            <a:gd name="adj" fmla="val 44327"/>
          </a:avLst>
        </a:prstGeom>
        <a:solidFill>
          <a:srgbClr val="00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159316</xdr:colOff>
      <xdr:row>4</xdr:row>
      <xdr:rowOff>39536</xdr:rowOff>
    </xdr:from>
    <xdr:to>
      <xdr:col>15</xdr:col>
      <xdr:colOff>12937</xdr:colOff>
      <xdr:row>11</xdr:row>
      <xdr:rowOff>164830</xdr:rowOff>
    </xdr:to>
    <xdr:sp macro="" textlink="">
      <xdr:nvSpPr>
        <xdr:cNvPr id="4" name="Rectangle: Rounded Corners 3">
          <a:extLst>
            <a:ext uri="{FF2B5EF4-FFF2-40B4-BE49-F238E27FC236}">
              <a16:creationId xmlns:a16="http://schemas.microsoft.com/office/drawing/2014/main" id="{E2764A69-1763-B55D-334D-1D2E43E2606A}"/>
            </a:ext>
          </a:extLst>
        </xdr:cNvPr>
        <xdr:cNvSpPr/>
      </xdr:nvSpPr>
      <xdr:spPr>
        <a:xfrm>
          <a:off x="2608602" y="801536"/>
          <a:ext cx="6589156" cy="1458794"/>
        </a:xfrm>
        <a:prstGeom prst="roundRect">
          <a:avLst>
            <a:gd name="adj" fmla="val 2174"/>
          </a:avLst>
        </a:prstGeom>
        <a:solidFill>
          <a:srgbClr val="AFDC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368700</xdr:colOff>
      <xdr:row>7</xdr:row>
      <xdr:rowOff>29787</xdr:rowOff>
    </xdr:from>
    <xdr:to>
      <xdr:col>6</xdr:col>
      <xdr:colOff>589066</xdr:colOff>
      <xdr:row>11</xdr:row>
      <xdr:rowOff>69809</xdr:rowOff>
    </xdr:to>
    <xdr:sp macro="" textlink="">
      <xdr:nvSpPr>
        <xdr:cNvPr id="5" name="Rectangle: Rounded Corners 4">
          <a:extLst>
            <a:ext uri="{FF2B5EF4-FFF2-40B4-BE49-F238E27FC236}">
              <a16:creationId xmlns:a16="http://schemas.microsoft.com/office/drawing/2014/main" id="{A8F10ABA-ADCD-7B7B-34C0-9B03DC1C82F8}"/>
            </a:ext>
          </a:extLst>
        </xdr:cNvPr>
        <xdr:cNvSpPr/>
      </xdr:nvSpPr>
      <xdr:spPr>
        <a:xfrm>
          <a:off x="2817986" y="1363287"/>
          <a:ext cx="1445009" cy="802022"/>
        </a:xfrm>
        <a:prstGeom prst="roundRect">
          <a:avLst>
            <a:gd name="adj" fmla="val 8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haroni" panose="02010803020104030203" pitchFamily="2" charset="-79"/>
            <a:cs typeface="Aharoni" panose="02010803020104030203" pitchFamily="2" charset="-79"/>
          </a:endParaRPr>
        </a:p>
      </xdr:txBody>
    </xdr:sp>
    <xdr:clientData/>
  </xdr:twoCellAnchor>
  <xdr:twoCellAnchor>
    <xdr:from>
      <xdr:col>7</xdr:col>
      <xdr:colOff>128003</xdr:colOff>
      <xdr:row>7</xdr:row>
      <xdr:rowOff>28120</xdr:rowOff>
    </xdr:from>
    <xdr:to>
      <xdr:col>9</xdr:col>
      <xdr:colOff>348405</xdr:colOff>
      <xdr:row>11</xdr:row>
      <xdr:rowOff>68892</xdr:rowOff>
    </xdr:to>
    <xdr:sp macro="" textlink="">
      <xdr:nvSpPr>
        <xdr:cNvPr id="9" name="Rectangle: Rounded Corners 8">
          <a:extLst>
            <a:ext uri="{FF2B5EF4-FFF2-40B4-BE49-F238E27FC236}">
              <a16:creationId xmlns:a16="http://schemas.microsoft.com/office/drawing/2014/main" id="{00A8A46B-B51A-DC1E-3C50-A257B132B8AE}"/>
            </a:ext>
          </a:extLst>
        </xdr:cNvPr>
        <xdr:cNvSpPr/>
      </xdr:nvSpPr>
      <xdr:spPr>
        <a:xfrm>
          <a:off x="4414253" y="1361620"/>
          <a:ext cx="1445045" cy="802772"/>
        </a:xfrm>
        <a:prstGeom prst="roundRect">
          <a:avLst>
            <a:gd name="adj" fmla="val 8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478038</xdr:colOff>
      <xdr:row>7</xdr:row>
      <xdr:rowOff>26457</xdr:rowOff>
    </xdr:from>
    <xdr:to>
      <xdr:col>12</xdr:col>
      <xdr:colOff>79694</xdr:colOff>
      <xdr:row>11</xdr:row>
      <xdr:rowOff>69809</xdr:rowOff>
    </xdr:to>
    <xdr:sp macro="" textlink="">
      <xdr:nvSpPr>
        <xdr:cNvPr id="10" name="Rectangle: Rounded Corners 9">
          <a:extLst>
            <a:ext uri="{FF2B5EF4-FFF2-40B4-BE49-F238E27FC236}">
              <a16:creationId xmlns:a16="http://schemas.microsoft.com/office/drawing/2014/main" id="{DF843DA7-F929-2EC9-E56F-C16BFD7133A7}"/>
            </a:ext>
          </a:extLst>
        </xdr:cNvPr>
        <xdr:cNvSpPr/>
      </xdr:nvSpPr>
      <xdr:spPr>
        <a:xfrm>
          <a:off x="5988931" y="1359957"/>
          <a:ext cx="1438620" cy="805352"/>
        </a:xfrm>
        <a:prstGeom prst="roundRect">
          <a:avLst>
            <a:gd name="adj" fmla="val 8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209327</xdr:colOff>
      <xdr:row>7</xdr:row>
      <xdr:rowOff>24791</xdr:rowOff>
    </xdr:from>
    <xdr:to>
      <xdr:col>14</xdr:col>
      <xdr:colOff>429727</xdr:colOff>
      <xdr:row>11</xdr:row>
      <xdr:rowOff>65563</xdr:rowOff>
    </xdr:to>
    <xdr:sp macro="" textlink="">
      <xdr:nvSpPr>
        <xdr:cNvPr id="11" name="Rectangle: Rounded Corners 10">
          <a:extLst>
            <a:ext uri="{FF2B5EF4-FFF2-40B4-BE49-F238E27FC236}">
              <a16:creationId xmlns:a16="http://schemas.microsoft.com/office/drawing/2014/main" id="{539150F6-D3A6-3744-FA15-0127C1C03BC9}"/>
            </a:ext>
          </a:extLst>
        </xdr:cNvPr>
        <xdr:cNvSpPr/>
      </xdr:nvSpPr>
      <xdr:spPr>
        <a:xfrm>
          <a:off x="7557184" y="1358291"/>
          <a:ext cx="1445043" cy="802772"/>
        </a:xfrm>
        <a:prstGeom prst="roundRect">
          <a:avLst>
            <a:gd name="adj" fmla="val 8858"/>
          </a:avLst>
        </a:prstGeom>
        <a:solidFill>
          <a:srgbClr val="00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143613</xdr:colOff>
      <xdr:row>22</xdr:row>
      <xdr:rowOff>12823</xdr:rowOff>
    </xdr:from>
    <xdr:to>
      <xdr:col>9</xdr:col>
      <xdr:colOff>509420</xdr:colOff>
      <xdr:row>35</xdr:row>
      <xdr:rowOff>75951</xdr:rowOff>
    </xdr:to>
    <xdr:sp macro="" textlink="">
      <xdr:nvSpPr>
        <xdr:cNvPr id="21" name="Rectangle: Rounded Corners 20">
          <a:extLst>
            <a:ext uri="{FF2B5EF4-FFF2-40B4-BE49-F238E27FC236}">
              <a16:creationId xmlns:a16="http://schemas.microsoft.com/office/drawing/2014/main" id="{3B082FD0-7774-1523-E02B-1CE84971AA4C}"/>
            </a:ext>
          </a:extLst>
        </xdr:cNvPr>
        <xdr:cNvSpPr/>
      </xdr:nvSpPr>
      <xdr:spPr>
        <a:xfrm>
          <a:off x="2592899" y="4203823"/>
          <a:ext cx="3427414" cy="2539628"/>
        </a:xfrm>
        <a:prstGeom prst="roundRect">
          <a:avLst>
            <a:gd name="adj" fmla="val 8858"/>
          </a:avLst>
        </a:prstGeom>
        <a:solidFill>
          <a:schemeClr val="bg1">
            <a:alpha val="4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156711</xdr:colOff>
      <xdr:row>12</xdr:row>
      <xdr:rowOff>24119</xdr:rowOff>
    </xdr:from>
    <xdr:to>
      <xdr:col>9</xdr:col>
      <xdr:colOff>483217</xdr:colOff>
      <xdr:row>35</xdr:row>
      <xdr:rowOff>127642</xdr:rowOff>
    </xdr:to>
    <xdr:sp macro="" textlink="">
      <xdr:nvSpPr>
        <xdr:cNvPr id="23" name="Rectangle: Rounded Corners 22">
          <a:extLst>
            <a:ext uri="{FF2B5EF4-FFF2-40B4-BE49-F238E27FC236}">
              <a16:creationId xmlns:a16="http://schemas.microsoft.com/office/drawing/2014/main" id="{77763987-8887-907F-58DE-1EE5929ACEB9}"/>
            </a:ext>
          </a:extLst>
        </xdr:cNvPr>
        <xdr:cNvSpPr/>
      </xdr:nvSpPr>
      <xdr:spPr>
        <a:xfrm>
          <a:off x="2605997" y="2310119"/>
          <a:ext cx="3388113" cy="4485023"/>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545852</xdr:colOff>
      <xdr:row>12</xdr:row>
      <xdr:rowOff>19990</xdr:rowOff>
    </xdr:from>
    <xdr:to>
      <xdr:col>15</xdr:col>
      <xdr:colOff>25075</xdr:colOff>
      <xdr:row>35</xdr:row>
      <xdr:rowOff>123513</xdr:rowOff>
    </xdr:to>
    <xdr:sp macro="" textlink="">
      <xdr:nvSpPr>
        <xdr:cNvPr id="24" name="Rectangle: Rounded Corners 23">
          <a:extLst>
            <a:ext uri="{FF2B5EF4-FFF2-40B4-BE49-F238E27FC236}">
              <a16:creationId xmlns:a16="http://schemas.microsoft.com/office/drawing/2014/main" id="{FF7B234B-05D0-5B09-27A2-1012BA82931F}"/>
            </a:ext>
          </a:extLst>
        </xdr:cNvPr>
        <xdr:cNvSpPr/>
      </xdr:nvSpPr>
      <xdr:spPr>
        <a:xfrm>
          <a:off x="6056745" y="2305990"/>
          <a:ext cx="3153151" cy="4485023"/>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53684</xdr:colOff>
      <xdr:row>21</xdr:row>
      <xdr:rowOff>176481</xdr:rowOff>
    </xdr:from>
    <xdr:to>
      <xdr:col>9</xdr:col>
      <xdr:colOff>150957</xdr:colOff>
      <xdr:row>21</xdr:row>
      <xdr:rowOff>176482</xdr:rowOff>
    </xdr:to>
    <xdr:cxnSp macro="">
      <xdr:nvCxnSpPr>
        <xdr:cNvPr id="7" name="Straight Connector 6">
          <a:extLst>
            <a:ext uri="{FF2B5EF4-FFF2-40B4-BE49-F238E27FC236}">
              <a16:creationId xmlns:a16="http://schemas.microsoft.com/office/drawing/2014/main" id="{57E525E3-A2CB-5B9D-038A-43D2DD12FF9F}"/>
            </a:ext>
          </a:extLst>
        </xdr:cNvPr>
        <xdr:cNvCxnSpPr/>
      </xdr:nvCxnSpPr>
      <xdr:spPr>
        <a:xfrm>
          <a:off x="3115291" y="4176981"/>
          <a:ext cx="2546559" cy="1"/>
        </a:xfrm>
        <a:prstGeom prst="line">
          <a:avLst/>
        </a:prstGeom>
        <a:ln w="15875">
          <a:solidFill>
            <a:schemeClr val="bg1">
              <a:lumMod val="85000"/>
              <a:alpha val="5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103264</xdr:colOff>
      <xdr:row>4</xdr:row>
      <xdr:rowOff>28562</xdr:rowOff>
    </xdr:from>
    <xdr:to>
      <xdr:col>21</xdr:col>
      <xdr:colOff>595234</xdr:colOff>
      <xdr:row>35</xdr:row>
      <xdr:rowOff>124455</xdr:rowOff>
    </xdr:to>
    <xdr:sp macro="" textlink="">
      <xdr:nvSpPr>
        <xdr:cNvPr id="26" name="Rectangle: Rounded Corners 25">
          <a:extLst>
            <a:ext uri="{FF2B5EF4-FFF2-40B4-BE49-F238E27FC236}">
              <a16:creationId xmlns:a16="http://schemas.microsoft.com/office/drawing/2014/main" id="{8B3039E4-2204-25F3-FBC4-4B1712E38E85}"/>
            </a:ext>
          </a:extLst>
        </xdr:cNvPr>
        <xdr:cNvSpPr/>
      </xdr:nvSpPr>
      <xdr:spPr>
        <a:xfrm>
          <a:off x="9288085" y="790562"/>
          <a:ext cx="4165899" cy="6001393"/>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443013</xdr:colOff>
      <xdr:row>19</xdr:row>
      <xdr:rowOff>42865</xdr:rowOff>
    </xdr:from>
    <xdr:to>
      <xdr:col>20</xdr:col>
      <xdr:colOff>540286</xdr:colOff>
      <xdr:row>19</xdr:row>
      <xdr:rowOff>42866</xdr:rowOff>
    </xdr:to>
    <xdr:cxnSp macro="">
      <xdr:nvCxnSpPr>
        <xdr:cNvPr id="27" name="Straight Connector 26">
          <a:extLst>
            <a:ext uri="{FF2B5EF4-FFF2-40B4-BE49-F238E27FC236}">
              <a16:creationId xmlns:a16="http://schemas.microsoft.com/office/drawing/2014/main" id="{6BB507A0-59B9-0079-1A99-6CF652F42E92}"/>
            </a:ext>
          </a:extLst>
        </xdr:cNvPr>
        <xdr:cNvCxnSpPr/>
      </xdr:nvCxnSpPr>
      <xdr:spPr>
        <a:xfrm>
          <a:off x="10240156" y="3662365"/>
          <a:ext cx="2546559" cy="1"/>
        </a:xfrm>
        <a:prstGeom prst="line">
          <a:avLst/>
        </a:prstGeom>
        <a:ln w="15875">
          <a:solidFill>
            <a:schemeClr val="bg1">
              <a:lumMod val="85000"/>
              <a:alpha val="5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124239</xdr:colOff>
      <xdr:row>1</xdr:row>
      <xdr:rowOff>163679</xdr:rowOff>
    </xdr:from>
    <xdr:to>
      <xdr:col>21</xdr:col>
      <xdr:colOff>558467</xdr:colOff>
      <xdr:row>3</xdr:row>
      <xdr:rowOff>116093</xdr:rowOff>
    </xdr:to>
    <xdr:grpSp>
      <xdr:nvGrpSpPr>
        <xdr:cNvPr id="33" name="Group 32">
          <a:extLst>
            <a:ext uri="{FF2B5EF4-FFF2-40B4-BE49-F238E27FC236}">
              <a16:creationId xmlns:a16="http://schemas.microsoft.com/office/drawing/2014/main" id="{B7D0DEED-4511-40B7-A7D6-D553436D7458}"/>
            </a:ext>
          </a:extLst>
        </xdr:cNvPr>
        <xdr:cNvGrpSpPr/>
      </xdr:nvGrpSpPr>
      <xdr:grpSpPr>
        <a:xfrm>
          <a:off x="13067033" y="359782"/>
          <a:ext cx="434228" cy="344620"/>
          <a:chOff x="13222941" y="266141"/>
          <a:chExt cx="434228" cy="336175"/>
        </a:xfrm>
      </xdr:grpSpPr>
      <xdr:sp macro="[0]!Refresh" textlink="">
        <xdr:nvSpPr>
          <xdr:cNvPr id="34" name="Rectangle: Rounded Corners 33">
            <a:extLst>
              <a:ext uri="{FF2B5EF4-FFF2-40B4-BE49-F238E27FC236}">
                <a16:creationId xmlns:a16="http://schemas.microsoft.com/office/drawing/2014/main" id="{A6A2C917-E709-F476-619E-2A8BF4826948}"/>
              </a:ext>
            </a:extLst>
          </xdr:cNvPr>
          <xdr:cNvSpPr/>
        </xdr:nvSpPr>
        <xdr:spPr>
          <a:xfrm>
            <a:off x="13222941" y="266141"/>
            <a:ext cx="434228" cy="336175"/>
          </a:xfrm>
          <a:prstGeom prst="roundRect">
            <a:avLst/>
          </a:prstGeom>
          <a:solidFill>
            <a:srgbClr val="00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macro="[0]!Refresh">
        <xdr:nvPicPr>
          <xdr:cNvPr id="35" name="Picture 34">
            <a:extLst>
              <a:ext uri="{FF2B5EF4-FFF2-40B4-BE49-F238E27FC236}">
                <a16:creationId xmlns:a16="http://schemas.microsoft.com/office/drawing/2014/main" id="{8EDA212F-132E-F3B7-C04D-DB74F82F87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25755" y="318088"/>
            <a:ext cx="228600" cy="228600"/>
          </a:xfrm>
          <a:prstGeom prst="rect">
            <a:avLst/>
          </a:prstGeom>
        </xdr:spPr>
      </xdr:pic>
    </xdr:grpSp>
    <xdr:clientData/>
  </xdr:twoCellAnchor>
  <xdr:twoCellAnchor>
    <xdr:from>
      <xdr:col>4</xdr:col>
      <xdr:colOff>531212</xdr:colOff>
      <xdr:row>4</xdr:row>
      <xdr:rowOff>104320</xdr:rowOff>
    </xdr:from>
    <xdr:to>
      <xdr:col>13</xdr:col>
      <xdr:colOff>119062</xdr:colOff>
      <xdr:row>6</xdr:row>
      <xdr:rowOff>188987</xdr:rowOff>
    </xdr:to>
    <xdr:sp macro="" textlink="">
      <xdr:nvSpPr>
        <xdr:cNvPr id="36" name="TextBox 35">
          <a:extLst>
            <a:ext uri="{FF2B5EF4-FFF2-40B4-BE49-F238E27FC236}">
              <a16:creationId xmlns:a16="http://schemas.microsoft.com/office/drawing/2014/main" id="{7C157DA2-E296-4069-8951-822BE9BB8753}"/>
            </a:ext>
          </a:extLst>
        </xdr:cNvPr>
        <xdr:cNvSpPr txBox="1"/>
      </xdr:nvSpPr>
      <xdr:spPr>
        <a:xfrm>
          <a:off x="2980498" y="866320"/>
          <a:ext cx="5098743"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a:solidFill>
                <a:srgbClr val="006600"/>
              </a:solidFill>
              <a:latin typeface="+mn-lt"/>
              <a:cs typeface="Aharoni" panose="02010803020104030203" pitchFamily="2" charset="-79"/>
            </a:rPr>
            <a:t>This dashboard reveals how pricing, popularity, and food origin shape customer preferences.</a:t>
          </a:r>
          <a:r>
            <a:rPr lang="en-US" sz="1100" baseline="0">
              <a:solidFill>
                <a:srgbClr val="006600"/>
              </a:solidFill>
              <a:latin typeface="Aharoni" panose="02010803020104030203" pitchFamily="2" charset="-79"/>
              <a:cs typeface="Aharoni" panose="02010803020104030203" pitchFamily="2" charset="-79"/>
            </a:rPr>
            <a:t> </a:t>
          </a:r>
          <a:r>
            <a:rPr lang="en-US" sz="1100" baseline="0">
              <a:solidFill>
                <a:srgbClr val="006600"/>
              </a:solidFill>
              <a:latin typeface="Abadi" panose="020B0604020104020204" pitchFamily="34" charset="0"/>
              <a:cs typeface="Aharoni" panose="02010803020104030203" pitchFamily="2" charset="-79"/>
            </a:rPr>
            <a:t>T</a:t>
          </a:r>
          <a:r>
            <a:rPr lang="en-US" sz="1100">
              <a:solidFill>
                <a:srgbClr val="006600"/>
              </a:solidFill>
              <a:latin typeface="Abadi" panose="020B0604020104020204" pitchFamily="34" charset="0"/>
              <a:cs typeface="Aharoni" panose="02010803020104030203" pitchFamily="2" charset="-79"/>
            </a:rPr>
            <a:t>urning everyday choices into actionable business insights.</a:t>
          </a:r>
        </a:p>
      </xdr:txBody>
    </xdr:sp>
    <xdr:clientData/>
  </xdr:twoCellAnchor>
  <xdr:twoCellAnchor>
    <xdr:from>
      <xdr:col>4</xdr:col>
      <xdr:colOff>96318</xdr:colOff>
      <xdr:row>2</xdr:row>
      <xdr:rowOff>28396</xdr:rowOff>
    </xdr:from>
    <xdr:to>
      <xdr:col>10</xdr:col>
      <xdr:colOff>358914</xdr:colOff>
      <xdr:row>3</xdr:row>
      <xdr:rowOff>164230</xdr:rowOff>
    </xdr:to>
    <xdr:sp macro="" textlink="">
      <xdr:nvSpPr>
        <xdr:cNvPr id="37" name="TextBox 36">
          <a:extLst>
            <a:ext uri="{FF2B5EF4-FFF2-40B4-BE49-F238E27FC236}">
              <a16:creationId xmlns:a16="http://schemas.microsoft.com/office/drawing/2014/main" id="{1A865D8C-E4DA-D9B2-679B-4EAFBE38D133}"/>
            </a:ext>
          </a:extLst>
        </xdr:cNvPr>
        <xdr:cNvSpPr txBox="1"/>
      </xdr:nvSpPr>
      <xdr:spPr>
        <a:xfrm>
          <a:off x="2545604" y="409396"/>
          <a:ext cx="3936524" cy="32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0" i="0" baseline="0">
              <a:solidFill>
                <a:schemeClr val="tx1">
                  <a:lumMod val="65000"/>
                  <a:lumOff val="35000"/>
                </a:schemeClr>
              </a:solidFill>
              <a:effectLst/>
              <a:latin typeface="Aharoni" panose="02010803020104030203" pitchFamily="2" charset="-79"/>
              <a:ea typeface="+mn-ea"/>
              <a:cs typeface="Aharoni" panose="02010803020104030203" pitchFamily="2" charset="-79"/>
            </a:rPr>
            <a:t>Food-Menu Dashboard Analysis</a:t>
          </a:r>
          <a:endParaRPr lang="en-US" sz="1800">
            <a:solidFill>
              <a:schemeClr val="tx1">
                <a:lumMod val="65000"/>
                <a:lumOff val="35000"/>
              </a:schemeClr>
            </a:solidFill>
            <a:latin typeface="Aharoni" panose="02010803020104030203" pitchFamily="2" charset="-79"/>
            <a:cs typeface="Aharoni" panose="02010803020104030203" pitchFamily="2" charset="-79"/>
          </a:endParaRPr>
        </a:p>
      </xdr:txBody>
    </xdr:sp>
    <xdr:clientData/>
  </xdr:twoCellAnchor>
  <xdr:twoCellAnchor editAs="oneCell">
    <xdr:from>
      <xdr:col>4</xdr:col>
      <xdr:colOff>329628</xdr:colOff>
      <xdr:row>4</xdr:row>
      <xdr:rowOff>151296</xdr:rowOff>
    </xdr:from>
    <xdr:to>
      <xdr:col>4</xdr:col>
      <xdr:colOff>567160</xdr:colOff>
      <xdr:row>5</xdr:row>
      <xdr:rowOff>186635</xdr:rowOff>
    </xdr:to>
    <xdr:pic>
      <xdr:nvPicPr>
        <xdr:cNvPr id="38" name="Picture 37">
          <a:extLst>
            <a:ext uri="{FF2B5EF4-FFF2-40B4-BE49-F238E27FC236}">
              <a16:creationId xmlns:a16="http://schemas.microsoft.com/office/drawing/2014/main" id="{C0756D1C-B5B7-42AC-A934-AE500273FA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8914" y="913296"/>
          <a:ext cx="237532" cy="225839"/>
        </a:xfrm>
        <a:prstGeom prst="rect">
          <a:avLst/>
        </a:prstGeom>
      </xdr:spPr>
    </xdr:pic>
    <xdr:clientData/>
  </xdr:twoCellAnchor>
  <xdr:twoCellAnchor>
    <xdr:from>
      <xdr:col>4</xdr:col>
      <xdr:colOff>469182</xdr:colOff>
      <xdr:row>7</xdr:row>
      <xdr:rowOff>91578</xdr:rowOff>
    </xdr:from>
    <xdr:to>
      <xdr:col>6</xdr:col>
      <xdr:colOff>411928</xdr:colOff>
      <xdr:row>10</xdr:row>
      <xdr:rowOff>111225</xdr:rowOff>
    </xdr:to>
    <xdr:grpSp>
      <xdr:nvGrpSpPr>
        <xdr:cNvPr id="47" name="Group 46">
          <a:extLst>
            <a:ext uri="{FF2B5EF4-FFF2-40B4-BE49-F238E27FC236}">
              <a16:creationId xmlns:a16="http://schemas.microsoft.com/office/drawing/2014/main" id="{6FD164A5-637B-A137-383E-51718D62E640}"/>
            </a:ext>
          </a:extLst>
        </xdr:cNvPr>
        <xdr:cNvGrpSpPr/>
      </xdr:nvGrpSpPr>
      <xdr:grpSpPr>
        <a:xfrm>
          <a:off x="2934476" y="1464299"/>
          <a:ext cx="1175393" cy="607955"/>
          <a:chOff x="2899153" y="1305462"/>
          <a:chExt cx="1157529" cy="599540"/>
        </a:xfrm>
      </xdr:grpSpPr>
      <xdr:sp macro="" textlink="">
        <xdr:nvSpPr>
          <xdr:cNvPr id="42" name="TextBox 41">
            <a:extLst>
              <a:ext uri="{FF2B5EF4-FFF2-40B4-BE49-F238E27FC236}">
                <a16:creationId xmlns:a16="http://schemas.microsoft.com/office/drawing/2014/main" id="{4806BD98-0F4C-2308-17C6-E9A8AA12F127}"/>
              </a:ext>
            </a:extLst>
          </xdr:cNvPr>
          <xdr:cNvSpPr txBox="1"/>
        </xdr:nvSpPr>
        <xdr:spPr>
          <a:xfrm>
            <a:off x="2899153" y="1642718"/>
            <a:ext cx="1104108" cy="26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tx1">
                    <a:lumMod val="50000"/>
                    <a:lumOff val="50000"/>
                  </a:schemeClr>
                </a:solidFill>
                <a:effectLst/>
                <a:latin typeface="+mn-lt"/>
                <a:ea typeface="+mn-ea"/>
                <a:cs typeface="Aharoni" panose="02010803020104030203" pitchFamily="2" charset="-79"/>
              </a:rPr>
              <a:t>Total Counts</a:t>
            </a:r>
            <a:endParaRPr lang="en-US" sz="1050" b="1">
              <a:solidFill>
                <a:schemeClr val="tx1">
                  <a:lumMod val="50000"/>
                  <a:lumOff val="50000"/>
                </a:schemeClr>
              </a:solidFill>
              <a:latin typeface="+mn-lt"/>
              <a:cs typeface="Aharoni" panose="02010803020104030203" pitchFamily="2" charset="-79"/>
            </a:endParaRPr>
          </a:p>
        </xdr:txBody>
      </xdr:sp>
      <xdr:grpSp>
        <xdr:nvGrpSpPr>
          <xdr:cNvPr id="46" name="Group 45">
            <a:extLst>
              <a:ext uri="{FF2B5EF4-FFF2-40B4-BE49-F238E27FC236}">
                <a16:creationId xmlns:a16="http://schemas.microsoft.com/office/drawing/2014/main" id="{09EBA0AA-8CA9-126B-494E-1BD26871D8A4}"/>
              </a:ext>
            </a:extLst>
          </xdr:cNvPr>
          <xdr:cNvGrpSpPr/>
        </xdr:nvGrpSpPr>
        <xdr:grpSpPr>
          <a:xfrm>
            <a:off x="3781256" y="1305462"/>
            <a:ext cx="275426" cy="228266"/>
            <a:chOff x="3795576" y="1294238"/>
            <a:chExt cx="275426" cy="226395"/>
          </a:xfrm>
        </xdr:grpSpPr>
        <xdr:sp macro="" textlink="">
          <xdr:nvSpPr>
            <xdr:cNvPr id="45" name="Rectangle: Rounded Corners 44">
              <a:extLst>
                <a:ext uri="{FF2B5EF4-FFF2-40B4-BE49-F238E27FC236}">
                  <a16:creationId xmlns:a16="http://schemas.microsoft.com/office/drawing/2014/main" id="{43993C1C-CDB3-8153-1EE1-6FA642E7E1D7}"/>
                </a:ext>
              </a:extLst>
            </xdr:cNvPr>
            <xdr:cNvSpPr/>
          </xdr:nvSpPr>
          <xdr:spPr>
            <a:xfrm>
              <a:off x="3795576" y="1294238"/>
              <a:ext cx="275426" cy="226395"/>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4" name="Picture 43">
              <a:extLst>
                <a:ext uri="{FF2B5EF4-FFF2-40B4-BE49-F238E27FC236}">
                  <a16:creationId xmlns:a16="http://schemas.microsoft.com/office/drawing/2014/main" id="{0B2F4227-AFBD-41AF-923E-8906DE0A51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49707" y="1334444"/>
              <a:ext cx="192024" cy="154608"/>
            </a:xfrm>
            <a:prstGeom prst="rect">
              <a:avLst/>
            </a:prstGeom>
          </xdr:spPr>
        </xdr:pic>
      </xdr:grpSp>
    </xdr:grpSp>
    <xdr:clientData/>
  </xdr:twoCellAnchor>
  <xdr:twoCellAnchor editAs="oneCell">
    <xdr:from>
      <xdr:col>17</xdr:col>
      <xdr:colOff>483154</xdr:colOff>
      <xdr:row>1</xdr:row>
      <xdr:rowOff>163680</xdr:rowOff>
    </xdr:from>
    <xdr:to>
      <xdr:col>20</xdr:col>
      <xdr:colOff>511590</xdr:colOff>
      <xdr:row>3</xdr:row>
      <xdr:rowOff>136070</xdr:rowOff>
    </xdr:to>
    <mc:AlternateContent xmlns:mc="http://schemas.openxmlformats.org/markup-compatibility/2006" xmlns:a14="http://schemas.microsoft.com/office/drawing/2010/main">
      <mc:Choice Requires="a14">
        <xdr:graphicFrame macro="">
          <xdr:nvGraphicFramePr>
            <xdr:cNvPr id="67" name="Year">
              <a:extLst>
                <a:ext uri="{FF2B5EF4-FFF2-40B4-BE49-F238E27FC236}">
                  <a16:creationId xmlns:a16="http://schemas.microsoft.com/office/drawing/2014/main" id="{67AD8294-F072-4B5D-BECE-2746FD1B2F8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960654" y="359783"/>
              <a:ext cx="1877407" cy="364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291786</xdr:colOff>
      <xdr:row>7</xdr:row>
      <xdr:rowOff>119972</xdr:rowOff>
    </xdr:from>
    <xdr:to>
      <xdr:col>14</xdr:col>
      <xdr:colOff>234533</xdr:colOff>
      <xdr:row>10</xdr:row>
      <xdr:rowOff>144654</xdr:rowOff>
    </xdr:to>
    <xdr:grpSp>
      <xdr:nvGrpSpPr>
        <xdr:cNvPr id="83" name="Group 82">
          <a:extLst>
            <a:ext uri="{FF2B5EF4-FFF2-40B4-BE49-F238E27FC236}">
              <a16:creationId xmlns:a16="http://schemas.microsoft.com/office/drawing/2014/main" id="{6F2BA917-BE97-AECA-4B62-46EEC1D6E8F1}"/>
            </a:ext>
          </a:extLst>
        </xdr:cNvPr>
        <xdr:cNvGrpSpPr/>
      </xdr:nvGrpSpPr>
      <xdr:grpSpPr>
        <a:xfrm>
          <a:off x="7687668" y="1492693"/>
          <a:ext cx="1175394" cy="612990"/>
          <a:chOff x="7591142" y="1292488"/>
          <a:chExt cx="1159307" cy="585599"/>
        </a:xfrm>
      </xdr:grpSpPr>
      <xdr:sp macro="" textlink="">
        <xdr:nvSpPr>
          <xdr:cNvPr id="62" name="TextBox 61">
            <a:extLst>
              <a:ext uri="{FF2B5EF4-FFF2-40B4-BE49-F238E27FC236}">
                <a16:creationId xmlns:a16="http://schemas.microsoft.com/office/drawing/2014/main" id="{6204F53B-AF1D-C8EB-1F52-ABD929B50060}"/>
              </a:ext>
            </a:extLst>
          </xdr:cNvPr>
          <xdr:cNvSpPr txBox="1"/>
        </xdr:nvSpPr>
        <xdr:spPr>
          <a:xfrm>
            <a:off x="7591142" y="1620450"/>
            <a:ext cx="1105886" cy="257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0" i="0" baseline="0">
                <a:solidFill>
                  <a:srgbClr val="AFDC7E"/>
                </a:solidFill>
                <a:effectLst/>
                <a:latin typeface="+mn-lt"/>
                <a:ea typeface="+mn-ea"/>
                <a:cs typeface="Aharoni" panose="02010803020104030203" pitchFamily="2" charset="-79"/>
              </a:rPr>
              <a:t>Avg Ratings</a:t>
            </a:r>
            <a:endParaRPr lang="en-US" sz="1050">
              <a:solidFill>
                <a:srgbClr val="AFDC7E"/>
              </a:solidFill>
              <a:latin typeface="+mn-lt"/>
              <a:cs typeface="Aharoni" panose="02010803020104030203" pitchFamily="2" charset="-79"/>
            </a:endParaRPr>
          </a:p>
        </xdr:txBody>
      </xdr:sp>
      <xdr:sp macro="" textlink="">
        <xdr:nvSpPr>
          <xdr:cNvPr id="64" name="Rectangle: Rounded Corners 63">
            <a:extLst>
              <a:ext uri="{FF2B5EF4-FFF2-40B4-BE49-F238E27FC236}">
                <a16:creationId xmlns:a16="http://schemas.microsoft.com/office/drawing/2014/main" id="{0230FE61-C4F0-7E6E-99E5-D79202D1D5B3}"/>
              </a:ext>
            </a:extLst>
          </xdr:cNvPr>
          <xdr:cNvSpPr/>
        </xdr:nvSpPr>
        <xdr:spPr>
          <a:xfrm>
            <a:off x="8474134" y="1292488"/>
            <a:ext cx="276315" cy="218972"/>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7617EB39-4C45-4490-BCB6-E6B102F25E8A}"/>
              </a:ext>
            </a:extLst>
          </xdr:cNvPr>
          <xdr:cNvGrpSpPr/>
        </xdr:nvGrpSpPr>
        <xdr:grpSpPr>
          <a:xfrm flipH="1">
            <a:off x="8517809" y="1349009"/>
            <a:ext cx="201168" cy="82296"/>
            <a:chOff x="662609" y="662609"/>
            <a:chExt cx="622300" cy="220869"/>
          </a:xfrm>
        </xdr:grpSpPr>
        <xdr:sp macro="" textlink="">
          <xdr:nvSpPr>
            <xdr:cNvPr id="43" name="Star: 5 Points 42">
              <a:extLst>
                <a:ext uri="{FF2B5EF4-FFF2-40B4-BE49-F238E27FC236}">
                  <a16:creationId xmlns:a16="http://schemas.microsoft.com/office/drawing/2014/main" id="{FD82D4AD-7C43-43C2-8924-81E20736C453}"/>
                </a:ext>
              </a:extLst>
            </xdr:cNvPr>
            <xdr:cNvSpPr/>
          </xdr:nvSpPr>
          <xdr:spPr>
            <a:xfrm>
              <a:off x="662609" y="662609"/>
              <a:ext cx="234674" cy="220869"/>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Star: 5 Points 67">
              <a:extLst>
                <a:ext uri="{FF2B5EF4-FFF2-40B4-BE49-F238E27FC236}">
                  <a16:creationId xmlns:a16="http://schemas.microsoft.com/office/drawing/2014/main" id="{04735974-C923-0259-4942-5D5426C0905E}"/>
                </a:ext>
              </a:extLst>
            </xdr:cNvPr>
            <xdr:cNvSpPr/>
          </xdr:nvSpPr>
          <xdr:spPr>
            <a:xfrm>
              <a:off x="856422" y="662609"/>
              <a:ext cx="234674" cy="220869"/>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Star: 5 Points 68">
              <a:extLst>
                <a:ext uri="{FF2B5EF4-FFF2-40B4-BE49-F238E27FC236}">
                  <a16:creationId xmlns:a16="http://schemas.microsoft.com/office/drawing/2014/main" id="{01EEAC66-231C-BB2A-A23C-D7C5B5AD3478}"/>
                </a:ext>
              </a:extLst>
            </xdr:cNvPr>
            <xdr:cNvSpPr/>
          </xdr:nvSpPr>
          <xdr:spPr>
            <a:xfrm>
              <a:off x="1050235" y="662609"/>
              <a:ext cx="234674" cy="220869"/>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7</xdr:col>
      <xdr:colOff>249270</xdr:colOff>
      <xdr:row>7</xdr:row>
      <xdr:rowOff>91578</xdr:rowOff>
    </xdr:from>
    <xdr:to>
      <xdr:col>9</xdr:col>
      <xdr:colOff>192016</xdr:colOff>
      <xdr:row>10</xdr:row>
      <xdr:rowOff>111225</xdr:rowOff>
    </xdr:to>
    <xdr:grpSp>
      <xdr:nvGrpSpPr>
        <xdr:cNvPr id="85" name="Group 84">
          <a:extLst>
            <a:ext uri="{FF2B5EF4-FFF2-40B4-BE49-F238E27FC236}">
              <a16:creationId xmlns:a16="http://schemas.microsoft.com/office/drawing/2014/main" id="{D074B359-A9EE-AE92-8CC0-C6670D5D5938}"/>
            </a:ext>
          </a:extLst>
        </xdr:cNvPr>
        <xdr:cNvGrpSpPr/>
      </xdr:nvGrpSpPr>
      <xdr:grpSpPr>
        <a:xfrm>
          <a:off x="4563535" y="1464299"/>
          <a:ext cx="1175393" cy="607955"/>
          <a:chOff x="4535520" y="1268247"/>
          <a:chExt cx="1167389" cy="581291"/>
        </a:xfrm>
      </xdr:grpSpPr>
      <xdr:grpSp>
        <xdr:nvGrpSpPr>
          <xdr:cNvPr id="48" name="Group 47">
            <a:extLst>
              <a:ext uri="{FF2B5EF4-FFF2-40B4-BE49-F238E27FC236}">
                <a16:creationId xmlns:a16="http://schemas.microsoft.com/office/drawing/2014/main" id="{A183586A-502F-553C-70D8-8EF3B6F3E06D}"/>
              </a:ext>
            </a:extLst>
          </xdr:cNvPr>
          <xdr:cNvGrpSpPr/>
        </xdr:nvGrpSpPr>
        <xdr:grpSpPr>
          <a:xfrm>
            <a:off x="4535520" y="1268247"/>
            <a:ext cx="1167389" cy="581291"/>
            <a:chOff x="2899153" y="1305462"/>
            <a:chExt cx="1157529" cy="599540"/>
          </a:xfrm>
        </xdr:grpSpPr>
        <xdr:sp macro="" textlink="">
          <xdr:nvSpPr>
            <xdr:cNvPr id="50" name="TextBox 49">
              <a:extLst>
                <a:ext uri="{FF2B5EF4-FFF2-40B4-BE49-F238E27FC236}">
                  <a16:creationId xmlns:a16="http://schemas.microsoft.com/office/drawing/2014/main" id="{1DA55E49-FAA6-C582-5283-62648A2618B5}"/>
                </a:ext>
              </a:extLst>
            </xdr:cNvPr>
            <xdr:cNvSpPr txBox="1"/>
          </xdr:nvSpPr>
          <xdr:spPr>
            <a:xfrm>
              <a:off x="2899153" y="1642718"/>
              <a:ext cx="1104108" cy="26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tx1">
                      <a:lumMod val="50000"/>
                      <a:lumOff val="50000"/>
                    </a:schemeClr>
                  </a:solidFill>
                  <a:effectLst/>
                  <a:latin typeface="+mn-lt"/>
                  <a:ea typeface="+mn-ea"/>
                  <a:cs typeface="Aharoni" panose="02010803020104030203" pitchFamily="2" charset="-79"/>
                </a:rPr>
                <a:t>Avg Calories</a:t>
              </a:r>
              <a:endParaRPr lang="en-US" sz="1050" b="1">
                <a:solidFill>
                  <a:schemeClr val="tx1">
                    <a:lumMod val="50000"/>
                    <a:lumOff val="50000"/>
                  </a:schemeClr>
                </a:solidFill>
                <a:latin typeface="+mn-lt"/>
                <a:cs typeface="Aharoni" panose="02010803020104030203" pitchFamily="2" charset="-79"/>
              </a:endParaRPr>
            </a:p>
          </xdr:txBody>
        </xdr:sp>
        <xdr:sp macro="" textlink="">
          <xdr:nvSpPr>
            <xdr:cNvPr id="52" name="Rectangle: Rounded Corners 51">
              <a:extLst>
                <a:ext uri="{FF2B5EF4-FFF2-40B4-BE49-F238E27FC236}">
                  <a16:creationId xmlns:a16="http://schemas.microsoft.com/office/drawing/2014/main" id="{415DFE13-612E-90D5-891D-BB6C8D7E11F5}"/>
                </a:ext>
              </a:extLst>
            </xdr:cNvPr>
            <xdr:cNvSpPr/>
          </xdr:nvSpPr>
          <xdr:spPr>
            <a:xfrm>
              <a:off x="3781256" y="1305462"/>
              <a:ext cx="275426" cy="228266"/>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77" name="Picture 76">
            <a:extLst>
              <a:ext uri="{FF2B5EF4-FFF2-40B4-BE49-F238E27FC236}">
                <a16:creationId xmlns:a16="http://schemas.microsoft.com/office/drawing/2014/main" id="{B3156603-46B9-6EF1-0BD3-D6586AF2DC6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486475" y="1287675"/>
            <a:ext cx="178878" cy="176150"/>
          </a:xfrm>
          <a:prstGeom prst="rect">
            <a:avLst/>
          </a:prstGeom>
        </xdr:spPr>
      </xdr:pic>
    </xdr:grpSp>
    <xdr:clientData/>
  </xdr:twoCellAnchor>
  <xdr:twoCellAnchor>
    <xdr:from>
      <xdr:col>9</xdr:col>
      <xdr:colOff>567321</xdr:colOff>
      <xdr:row>7</xdr:row>
      <xdr:rowOff>133506</xdr:rowOff>
    </xdr:from>
    <xdr:to>
      <xdr:col>11</xdr:col>
      <xdr:colOff>510068</xdr:colOff>
      <xdr:row>10</xdr:row>
      <xdr:rowOff>150427</xdr:rowOff>
    </xdr:to>
    <xdr:grpSp>
      <xdr:nvGrpSpPr>
        <xdr:cNvPr id="84" name="Group 83">
          <a:extLst>
            <a:ext uri="{FF2B5EF4-FFF2-40B4-BE49-F238E27FC236}">
              <a16:creationId xmlns:a16="http://schemas.microsoft.com/office/drawing/2014/main" id="{25E8A963-8108-34C0-0590-C6244D14B246}"/>
            </a:ext>
          </a:extLst>
        </xdr:cNvPr>
        <xdr:cNvGrpSpPr/>
      </xdr:nvGrpSpPr>
      <xdr:grpSpPr>
        <a:xfrm>
          <a:off x="6114233" y="1506227"/>
          <a:ext cx="1175394" cy="605229"/>
          <a:chOff x="6041838" y="1319304"/>
          <a:chExt cx="1159307" cy="581192"/>
        </a:xfrm>
      </xdr:grpSpPr>
      <xdr:grpSp>
        <xdr:nvGrpSpPr>
          <xdr:cNvPr id="54" name="Group 53">
            <a:extLst>
              <a:ext uri="{FF2B5EF4-FFF2-40B4-BE49-F238E27FC236}">
                <a16:creationId xmlns:a16="http://schemas.microsoft.com/office/drawing/2014/main" id="{F18334B7-908A-81EA-A467-FA8D4318E517}"/>
              </a:ext>
            </a:extLst>
          </xdr:cNvPr>
          <xdr:cNvGrpSpPr/>
        </xdr:nvGrpSpPr>
        <xdr:grpSpPr>
          <a:xfrm>
            <a:off x="6041838" y="1319304"/>
            <a:ext cx="1159307" cy="581192"/>
            <a:chOff x="2899153" y="1305462"/>
            <a:chExt cx="1157529" cy="599540"/>
          </a:xfrm>
        </xdr:grpSpPr>
        <xdr:sp macro="" textlink="">
          <xdr:nvSpPr>
            <xdr:cNvPr id="56" name="TextBox 55">
              <a:extLst>
                <a:ext uri="{FF2B5EF4-FFF2-40B4-BE49-F238E27FC236}">
                  <a16:creationId xmlns:a16="http://schemas.microsoft.com/office/drawing/2014/main" id="{11C353FE-AE6F-DDF1-7A61-8D1E91A837C4}"/>
                </a:ext>
              </a:extLst>
            </xdr:cNvPr>
            <xdr:cNvSpPr txBox="1"/>
          </xdr:nvSpPr>
          <xdr:spPr>
            <a:xfrm>
              <a:off x="2899153" y="1642718"/>
              <a:ext cx="1104108" cy="26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tx1">
                      <a:lumMod val="50000"/>
                      <a:lumOff val="50000"/>
                    </a:schemeClr>
                  </a:solidFill>
                  <a:effectLst/>
                  <a:latin typeface="+mn-lt"/>
                  <a:ea typeface="+mn-ea"/>
                  <a:cs typeface="Aharoni" panose="02010803020104030203" pitchFamily="2" charset="-79"/>
                </a:rPr>
                <a:t>Avg Popularity</a:t>
              </a:r>
              <a:endParaRPr lang="en-US" sz="1050" b="1">
                <a:solidFill>
                  <a:schemeClr val="tx1">
                    <a:lumMod val="50000"/>
                    <a:lumOff val="50000"/>
                  </a:schemeClr>
                </a:solidFill>
                <a:latin typeface="+mn-lt"/>
                <a:cs typeface="Aharoni" panose="02010803020104030203" pitchFamily="2" charset="-79"/>
              </a:endParaRPr>
            </a:p>
          </xdr:txBody>
        </xdr:sp>
        <xdr:sp macro="" textlink="">
          <xdr:nvSpPr>
            <xdr:cNvPr id="58" name="Rectangle: Rounded Corners 57">
              <a:extLst>
                <a:ext uri="{FF2B5EF4-FFF2-40B4-BE49-F238E27FC236}">
                  <a16:creationId xmlns:a16="http://schemas.microsoft.com/office/drawing/2014/main" id="{85463E89-D013-2AFF-458C-D358110DD0C6}"/>
                </a:ext>
              </a:extLst>
            </xdr:cNvPr>
            <xdr:cNvSpPr/>
          </xdr:nvSpPr>
          <xdr:spPr>
            <a:xfrm>
              <a:off x="3781256" y="1305462"/>
              <a:ext cx="275426" cy="228266"/>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81" name="Picture 80">
            <a:extLst>
              <a:ext uri="{FF2B5EF4-FFF2-40B4-BE49-F238E27FC236}">
                <a16:creationId xmlns:a16="http://schemas.microsoft.com/office/drawing/2014/main" id="{6F735FE8-14EC-470C-AF9D-D0D732C696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968508" y="1339984"/>
            <a:ext cx="182880" cy="178233"/>
          </a:xfrm>
          <a:prstGeom prst="rect">
            <a:avLst/>
          </a:prstGeom>
        </xdr:spPr>
      </xdr:pic>
    </xdr:grpSp>
    <xdr:clientData/>
  </xdr:twoCellAnchor>
  <xdr:twoCellAnchor>
    <xdr:from>
      <xdr:col>2</xdr:col>
      <xdr:colOff>582383</xdr:colOff>
      <xdr:row>11</xdr:row>
      <xdr:rowOff>32161</xdr:rowOff>
    </xdr:from>
    <xdr:to>
      <xdr:col>3</xdr:col>
      <xdr:colOff>297871</xdr:colOff>
      <xdr:row>26</xdr:row>
      <xdr:rowOff>63735</xdr:rowOff>
    </xdr:to>
    <xdr:grpSp>
      <xdr:nvGrpSpPr>
        <xdr:cNvPr id="8" name="Group 7">
          <a:extLst>
            <a:ext uri="{FF2B5EF4-FFF2-40B4-BE49-F238E27FC236}">
              <a16:creationId xmlns:a16="http://schemas.microsoft.com/office/drawing/2014/main" id="{59192D6D-C927-90D6-6847-BC8CC1987055}"/>
            </a:ext>
          </a:extLst>
        </xdr:cNvPr>
        <xdr:cNvGrpSpPr/>
      </xdr:nvGrpSpPr>
      <xdr:grpSpPr>
        <a:xfrm>
          <a:off x="1815030" y="2189293"/>
          <a:ext cx="331812" cy="2973118"/>
          <a:chOff x="1781299" y="1942110"/>
          <a:chExt cx="321624" cy="2814854"/>
        </a:xfrm>
      </xdr:grpSpPr>
      <xdr:pic>
        <xdr:nvPicPr>
          <xdr:cNvPr id="39" name="Picture 38">
            <a:extLst>
              <a:ext uri="{FF2B5EF4-FFF2-40B4-BE49-F238E27FC236}">
                <a16:creationId xmlns:a16="http://schemas.microsoft.com/office/drawing/2014/main" id="{402391EC-FDCF-4001-AAA3-264CD9E3CA2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59822" y="4536073"/>
            <a:ext cx="228600" cy="220891"/>
          </a:xfrm>
          <a:prstGeom prst="rect">
            <a:avLst/>
          </a:prstGeom>
        </xdr:spPr>
      </xdr:pic>
      <xdr:sp macro="" textlink="">
        <xdr:nvSpPr>
          <xdr:cNvPr id="6" name="Rectangle: Rounded Corners 5">
            <a:extLst>
              <a:ext uri="{FF2B5EF4-FFF2-40B4-BE49-F238E27FC236}">
                <a16:creationId xmlns:a16="http://schemas.microsoft.com/office/drawing/2014/main" id="{D3B2FDD9-E138-927D-5565-014D58EC46DA}"/>
              </a:ext>
            </a:extLst>
          </xdr:cNvPr>
          <xdr:cNvSpPr/>
        </xdr:nvSpPr>
        <xdr:spPr>
          <a:xfrm>
            <a:off x="1781299" y="1942110"/>
            <a:ext cx="321624" cy="309254"/>
          </a:xfrm>
          <a:prstGeom prst="roundRect">
            <a:avLst>
              <a:gd name="adj" fmla="val 44667"/>
            </a:avLst>
          </a:prstGeom>
          <a:solidFill>
            <a:srgbClr val="AFDC7E">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macro="[0]!Home_page">
        <xdr:nvPicPr>
          <xdr:cNvPr id="31" name="Picture 30">
            <a:extLst>
              <a:ext uri="{FF2B5EF4-FFF2-40B4-BE49-F238E27FC236}">
                <a16:creationId xmlns:a16="http://schemas.microsoft.com/office/drawing/2014/main" id="{717CF358-AAFA-934A-4255-4544169781C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34737" y="1979758"/>
            <a:ext cx="228600" cy="219617"/>
          </a:xfrm>
          <a:prstGeom prst="rect">
            <a:avLst/>
          </a:prstGeom>
        </xdr:spPr>
      </xdr:pic>
      <xdr:pic macro="[0]!Summary_page">
        <xdr:nvPicPr>
          <xdr:cNvPr id="12" name="Picture 11">
            <a:extLst>
              <a:ext uri="{FF2B5EF4-FFF2-40B4-BE49-F238E27FC236}">
                <a16:creationId xmlns:a16="http://schemas.microsoft.com/office/drawing/2014/main" id="{76268839-B3A6-8AB3-9591-166C8393694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34737" y="2884617"/>
            <a:ext cx="228600" cy="219617"/>
          </a:xfrm>
          <a:prstGeom prst="rect">
            <a:avLst/>
          </a:prstGeom>
        </xdr:spPr>
      </xdr:pic>
      <xdr:pic macro="[0]!Insight_page">
        <xdr:nvPicPr>
          <xdr:cNvPr id="15" name="Picture 14">
            <a:extLst>
              <a:ext uri="{FF2B5EF4-FFF2-40B4-BE49-F238E27FC236}">
                <a16:creationId xmlns:a16="http://schemas.microsoft.com/office/drawing/2014/main" id="{5DD59554-F8D4-C09C-417E-0DD9903AD64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834737" y="2461911"/>
            <a:ext cx="228600" cy="219617"/>
          </a:xfrm>
          <a:prstGeom prst="rect">
            <a:avLst/>
          </a:prstGeom>
        </xdr:spPr>
      </xdr:pic>
    </xdr:grpSp>
    <xdr:clientData/>
  </xdr:twoCellAnchor>
  <xdr:twoCellAnchor>
    <xdr:from>
      <xdr:col>2</xdr:col>
      <xdr:colOff>576199</xdr:colOff>
      <xdr:row>22</xdr:row>
      <xdr:rowOff>108858</xdr:rowOff>
    </xdr:from>
    <xdr:to>
      <xdr:col>3</xdr:col>
      <xdr:colOff>304056</xdr:colOff>
      <xdr:row>24</xdr:row>
      <xdr:rowOff>68036</xdr:rowOff>
    </xdr:to>
    <xdr:sp macro="" textlink="">
      <xdr:nvSpPr>
        <xdr:cNvPr id="25" name="Oval 24">
          <a:extLst>
            <a:ext uri="{FF2B5EF4-FFF2-40B4-BE49-F238E27FC236}">
              <a16:creationId xmlns:a16="http://schemas.microsoft.com/office/drawing/2014/main" id="{A6EF5DC9-AE9F-2E5C-6D06-26B1B60CEB1C}"/>
            </a:ext>
          </a:extLst>
        </xdr:cNvPr>
        <xdr:cNvSpPr/>
      </xdr:nvSpPr>
      <xdr:spPr>
        <a:xfrm>
          <a:off x="1808846" y="4423123"/>
          <a:ext cx="344181" cy="351384"/>
        </a:xfrm>
        <a:prstGeom prst="ellipse">
          <a:avLst/>
        </a:prstGeom>
        <a:blipFill>
          <a:blip xmlns:r="http://schemas.openxmlformats.org/officeDocument/2006/relationships" r:embed="rId10"/>
          <a:stretch>
            <a:fillRect/>
          </a:stretch>
        </a:blipFill>
        <a:ln>
          <a:solidFill>
            <a:srgbClr val="AFDC7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139077</xdr:colOff>
      <xdr:row>12</xdr:row>
      <xdr:rowOff>152858</xdr:rowOff>
    </xdr:from>
    <xdr:to>
      <xdr:col>22</xdr:col>
      <xdr:colOff>383688</xdr:colOff>
      <xdr:row>26</xdr:row>
      <xdr:rowOff>122444</xdr:rowOff>
    </xdr:to>
    <xdr:sp macro="" textlink="">
      <xdr:nvSpPr>
        <xdr:cNvPr id="57" name="TextBox 56">
          <a:extLst>
            <a:ext uri="{FF2B5EF4-FFF2-40B4-BE49-F238E27FC236}">
              <a16:creationId xmlns:a16="http://schemas.microsoft.com/office/drawing/2014/main" id="{A7C2AAE0-E88D-77A5-B2A1-A7C911C1D792}"/>
            </a:ext>
          </a:extLst>
        </xdr:cNvPr>
        <xdr:cNvSpPr txBox="1"/>
      </xdr:nvSpPr>
      <xdr:spPr>
        <a:xfrm rot="5400000">
          <a:off x="12462987" y="3741301"/>
          <a:ext cx="2715027" cy="24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0" i="0" baseline="0">
              <a:solidFill>
                <a:schemeClr val="tx1"/>
              </a:solidFill>
              <a:effectLst/>
              <a:latin typeface="+mn-lt"/>
              <a:ea typeface="+mn-ea"/>
              <a:cs typeface="Aharoni" panose="02010803020104030203" pitchFamily="2" charset="-79"/>
            </a:rPr>
            <a:t>LinkedIn: Naheemat Akinyemi</a:t>
          </a:r>
          <a:endParaRPr lang="en-US" sz="1050" b="0">
            <a:solidFill>
              <a:schemeClr val="tx1"/>
            </a:solidFill>
            <a:latin typeface="+mn-lt"/>
            <a:cs typeface="Aharoni" panose="02010803020104030203" pitchFamily="2"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308556</xdr:colOff>
      <xdr:row>0</xdr:row>
      <xdr:rowOff>13416</xdr:rowOff>
    </xdr:from>
    <xdr:to>
      <xdr:col>22</xdr:col>
      <xdr:colOff>375634</xdr:colOff>
      <xdr:row>37</xdr:row>
      <xdr:rowOff>1</xdr:rowOff>
    </xdr:to>
    <xdr:sp macro="" textlink="">
      <xdr:nvSpPr>
        <xdr:cNvPr id="25" name="Rectangle 24">
          <a:extLst>
            <a:ext uri="{FF2B5EF4-FFF2-40B4-BE49-F238E27FC236}">
              <a16:creationId xmlns:a16="http://schemas.microsoft.com/office/drawing/2014/main" id="{BA08DDEA-C0AC-40CC-A2F4-8906F167AE88}"/>
            </a:ext>
          </a:extLst>
        </xdr:cNvPr>
        <xdr:cNvSpPr/>
      </xdr:nvSpPr>
      <xdr:spPr>
        <a:xfrm>
          <a:off x="1515950" y="13416"/>
          <a:ext cx="12141022" cy="6935810"/>
        </a:xfrm>
        <a:prstGeom prst="rect">
          <a:avLst/>
        </a:prstGeom>
        <a:solidFill>
          <a:srgbClr val="BBF8AA"/>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308577</xdr:colOff>
      <xdr:row>1</xdr:row>
      <xdr:rowOff>31562</xdr:rowOff>
    </xdr:from>
    <xdr:to>
      <xdr:col>22</xdr:col>
      <xdr:colOff>87484</xdr:colOff>
      <xdr:row>35</xdr:row>
      <xdr:rowOff>142594</xdr:rowOff>
    </xdr:to>
    <xdr:sp macro="" textlink="">
      <xdr:nvSpPr>
        <xdr:cNvPr id="44" name="Rectangle: Rounded Corners 43">
          <a:extLst>
            <a:ext uri="{FF2B5EF4-FFF2-40B4-BE49-F238E27FC236}">
              <a16:creationId xmlns:a16="http://schemas.microsoft.com/office/drawing/2014/main" id="{978D1886-B99D-3D98-12D4-1A15F2A12D2E}"/>
            </a:ext>
          </a:extLst>
        </xdr:cNvPr>
        <xdr:cNvSpPr/>
      </xdr:nvSpPr>
      <xdr:spPr>
        <a:xfrm>
          <a:off x="2119669" y="219379"/>
          <a:ext cx="11249153" cy="6496807"/>
        </a:xfrm>
        <a:prstGeom prst="roundRect">
          <a:avLst>
            <a:gd name="adj" fmla="val 2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588317</xdr:colOff>
      <xdr:row>8</xdr:row>
      <xdr:rowOff>169061</xdr:rowOff>
    </xdr:from>
    <xdr:to>
      <xdr:col>3</xdr:col>
      <xdr:colOff>495340</xdr:colOff>
      <xdr:row>27</xdr:row>
      <xdr:rowOff>115062</xdr:rowOff>
    </xdr:to>
    <xdr:sp macro="" textlink="">
      <xdr:nvSpPr>
        <xdr:cNvPr id="45" name="Rectangle: Rounded Corners 44">
          <a:extLst>
            <a:ext uri="{FF2B5EF4-FFF2-40B4-BE49-F238E27FC236}">
              <a16:creationId xmlns:a16="http://schemas.microsoft.com/office/drawing/2014/main" id="{FEBC8718-4283-8B0D-6996-DAE973A922D1}"/>
            </a:ext>
          </a:extLst>
        </xdr:cNvPr>
        <xdr:cNvSpPr/>
      </xdr:nvSpPr>
      <xdr:spPr>
        <a:xfrm>
          <a:off x="1795711" y="1671596"/>
          <a:ext cx="510721" cy="3514522"/>
        </a:xfrm>
        <a:prstGeom prst="roundRect">
          <a:avLst>
            <a:gd name="adj" fmla="val 44327"/>
          </a:avLst>
        </a:prstGeom>
        <a:solidFill>
          <a:srgbClr val="00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204999</xdr:colOff>
      <xdr:row>21</xdr:row>
      <xdr:rowOff>128464</xdr:rowOff>
    </xdr:from>
    <xdr:to>
      <xdr:col>9</xdr:col>
      <xdr:colOff>524361</xdr:colOff>
      <xdr:row>34</xdr:row>
      <xdr:rowOff>155177</xdr:rowOff>
    </xdr:to>
    <xdr:sp macro="" textlink="">
      <xdr:nvSpPr>
        <xdr:cNvPr id="53" name="Rectangle: Rounded Corners 52">
          <a:extLst>
            <a:ext uri="{FF2B5EF4-FFF2-40B4-BE49-F238E27FC236}">
              <a16:creationId xmlns:a16="http://schemas.microsoft.com/office/drawing/2014/main" id="{B025C38B-6EB8-F5AE-DE69-A6135FA98E8A}"/>
            </a:ext>
          </a:extLst>
        </xdr:cNvPr>
        <xdr:cNvSpPr/>
      </xdr:nvSpPr>
      <xdr:spPr>
        <a:xfrm>
          <a:off x="2619788" y="4072619"/>
          <a:ext cx="3337848" cy="2468333"/>
        </a:xfrm>
        <a:prstGeom prst="roundRect">
          <a:avLst>
            <a:gd name="adj" fmla="val 8858"/>
          </a:avLst>
        </a:prstGeom>
        <a:solidFill>
          <a:schemeClr val="bg1">
            <a:alpha val="4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336790</xdr:colOff>
      <xdr:row>12</xdr:row>
      <xdr:rowOff>158219</xdr:rowOff>
    </xdr:from>
    <xdr:to>
      <xdr:col>12</xdr:col>
      <xdr:colOff>549540</xdr:colOff>
      <xdr:row>14</xdr:row>
      <xdr:rowOff>22776</xdr:rowOff>
    </xdr:to>
    <xdr:sp macro="" textlink="">
      <xdr:nvSpPr>
        <xdr:cNvPr id="61" name="TextBox 60">
          <a:extLst>
            <a:ext uri="{FF2B5EF4-FFF2-40B4-BE49-F238E27FC236}">
              <a16:creationId xmlns:a16="http://schemas.microsoft.com/office/drawing/2014/main" id="{EE9AC12D-89BA-1229-57ED-31590D00D960}"/>
            </a:ext>
          </a:extLst>
        </xdr:cNvPr>
        <xdr:cNvSpPr txBox="1"/>
      </xdr:nvSpPr>
      <xdr:spPr>
        <a:xfrm>
          <a:off x="5166367" y="2412022"/>
          <a:ext cx="2627539" cy="240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tx1">
                  <a:lumMod val="65000"/>
                  <a:lumOff val="35000"/>
                </a:schemeClr>
              </a:solidFill>
              <a:effectLst/>
              <a:latin typeface="Aharoni" panose="02010803020104030203" pitchFamily="2" charset="-79"/>
              <a:ea typeface="+mn-ea"/>
              <a:cs typeface="Aharoni" panose="02010803020104030203" pitchFamily="2" charset="-79"/>
            </a:rPr>
            <a:t>What is the average price?</a:t>
          </a:r>
          <a:endParaRPr lang="en-US">
            <a:solidFill>
              <a:schemeClr val="tx1">
                <a:lumMod val="65000"/>
                <a:lumOff val="35000"/>
              </a:schemeClr>
            </a:solidFill>
            <a:effectLst/>
            <a:latin typeface="Aharoni" panose="02010803020104030203" pitchFamily="2" charset="-79"/>
            <a:cs typeface="Aharoni" panose="02010803020104030203" pitchFamily="2" charset="-79"/>
          </a:endParaRPr>
        </a:p>
        <a:p>
          <a:endParaRPr lang="en-US" sz="1100">
            <a:solidFill>
              <a:schemeClr val="tx1">
                <a:lumMod val="65000"/>
                <a:lumOff val="35000"/>
              </a:schemeClr>
            </a:solidFill>
            <a:latin typeface="Aharoni" panose="02010803020104030203" pitchFamily="2" charset="-79"/>
            <a:cs typeface="Aharoni" panose="02010803020104030203" pitchFamily="2" charset="-79"/>
          </a:endParaRPr>
        </a:p>
      </xdr:txBody>
    </xdr:sp>
    <xdr:clientData/>
  </xdr:twoCellAnchor>
  <xdr:twoCellAnchor>
    <xdr:from>
      <xdr:col>15</xdr:col>
      <xdr:colOff>549181</xdr:colOff>
      <xdr:row>4</xdr:row>
      <xdr:rowOff>19196</xdr:rowOff>
    </xdr:from>
    <xdr:to>
      <xdr:col>22</xdr:col>
      <xdr:colOff>2244</xdr:colOff>
      <xdr:row>35</xdr:row>
      <xdr:rowOff>73584</xdr:rowOff>
    </xdr:to>
    <xdr:sp macro="" textlink="">
      <xdr:nvSpPr>
        <xdr:cNvPr id="76" name="Rectangle: Rounded Corners 75">
          <a:extLst>
            <a:ext uri="{FF2B5EF4-FFF2-40B4-BE49-F238E27FC236}">
              <a16:creationId xmlns:a16="http://schemas.microsoft.com/office/drawing/2014/main" id="{D14AE867-D782-9669-1AE5-D837689C0060}"/>
            </a:ext>
          </a:extLst>
        </xdr:cNvPr>
        <xdr:cNvSpPr/>
      </xdr:nvSpPr>
      <xdr:spPr>
        <a:xfrm>
          <a:off x="9604639" y="770464"/>
          <a:ext cx="3678943" cy="5876712"/>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410228</xdr:colOff>
      <xdr:row>21</xdr:row>
      <xdr:rowOff>109568</xdr:rowOff>
    </xdr:from>
    <xdr:to>
      <xdr:col>15</xdr:col>
      <xdr:colOff>476258</xdr:colOff>
      <xdr:row>35</xdr:row>
      <xdr:rowOff>71351</xdr:rowOff>
    </xdr:to>
    <xdr:sp macro="" textlink="">
      <xdr:nvSpPr>
        <xdr:cNvPr id="78" name="Rectangle: Rounded Corners 77">
          <a:extLst>
            <a:ext uri="{FF2B5EF4-FFF2-40B4-BE49-F238E27FC236}">
              <a16:creationId xmlns:a16="http://schemas.microsoft.com/office/drawing/2014/main" id="{7B4711D4-C191-B758-612E-95861A58E5CA}"/>
            </a:ext>
          </a:extLst>
        </xdr:cNvPr>
        <xdr:cNvSpPr/>
      </xdr:nvSpPr>
      <xdr:spPr>
        <a:xfrm>
          <a:off x="5843503" y="4053723"/>
          <a:ext cx="3688213" cy="2591220"/>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251736</xdr:colOff>
      <xdr:row>21</xdr:row>
      <xdr:rowOff>109568</xdr:rowOff>
    </xdr:from>
    <xdr:to>
      <xdr:col>9</xdr:col>
      <xdr:colOff>363794</xdr:colOff>
      <xdr:row>35</xdr:row>
      <xdr:rowOff>83107</xdr:rowOff>
    </xdr:to>
    <xdr:sp macro="" textlink="">
      <xdr:nvSpPr>
        <xdr:cNvPr id="80" name="Rectangle: Rounded Corners 79">
          <a:extLst>
            <a:ext uri="{FF2B5EF4-FFF2-40B4-BE49-F238E27FC236}">
              <a16:creationId xmlns:a16="http://schemas.microsoft.com/office/drawing/2014/main" id="{DDCEBAA2-046E-5209-7E36-51AA5BBFDCF0}"/>
            </a:ext>
          </a:extLst>
        </xdr:cNvPr>
        <xdr:cNvSpPr/>
      </xdr:nvSpPr>
      <xdr:spPr>
        <a:xfrm>
          <a:off x="2666525" y="4053723"/>
          <a:ext cx="3130544" cy="2602976"/>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248478</xdr:colOff>
      <xdr:row>4</xdr:row>
      <xdr:rowOff>17554</xdr:rowOff>
    </xdr:from>
    <xdr:to>
      <xdr:col>15</xdr:col>
      <xdr:colOff>490264</xdr:colOff>
      <xdr:row>21</xdr:row>
      <xdr:rowOff>31563</xdr:rowOff>
    </xdr:to>
    <xdr:sp macro="" textlink="">
      <xdr:nvSpPr>
        <xdr:cNvPr id="46" name="Rectangle: Rounded Corners 45">
          <a:extLst>
            <a:ext uri="{FF2B5EF4-FFF2-40B4-BE49-F238E27FC236}">
              <a16:creationId xmlns:a16="http://schemas.microsoft.com/office/drawing/2014/main" id="{5AD930AB-32E3-998D-2253-078CDB4261DC}"/>
            </a:ext>
          </a:extLst>
        </xdr:cNvPr>
        <xdr:cNvSpPr/>
      </xdr:nvSpPr>
      <xdr:spPr>
        <a:xfrm>
          <a:off x="2663267" y="768822"/>
          <a:ext cx="6882455" cy="3206896"/>
        </a:xfrm>
        <a:prstGeom prst="roundRect">
          <a:avLst>
            <a:gd name="adj" fmla="val 2174"/>
          </a:avLst>
        </a:prstGeom>
        <a:solidFill>
          <a:srgbClr val="AFDC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197366</xdr:colOff>
      <xdr:row>6</xdr:row>
      <xdr:rowOff>142727</xdr:rowOff>
    </xdr:from>
    <xdr:to>
      <xdr:col>11</xdr:col>
      <xdr:colOff>519627</xdr:colOff>
      <xdr:row>15</xdr:row>
      <xdr:rowOff>131830</xdr:rowOff>
    </xdr:to>
    <xdr:sp macro="" textlink="">
      <xdr:nvSpPr>
        <xdr:cNvPr id="54" name="Rectangle: Rounded Corners 53">
          <a:extLst>
            <a:ext uri="{FF2B5EF4-FFF2-40B4-BE49-F238E27FC236}">
              <a16:creationId xmlns:a16="http://schemas.microsoft.com/office/drawing/2014/main" id="{CF3BC765-BCC4-C8BB-EC34-49F26BB8A948}"/>
            </a:ext>
          </a:extLst>
        </xdr:cNvPr>
        <xdr:cNvSpPr/>
      </xdr:nvSpPr>
      <xdr:spPr>
        <a:xfrm>
          <a:off x="5026943" y="1269628"/>
          <a:ext cx="2133353" cy="1679456"/>
        </a:xfrm>
        <a:prstGeom prst="roundRect">
          <a:avLst>
            <a:gd name="adj" fmla="val 1763"/>
          </a:avLst>
        </a:prstGeom>
        <a:blipFill>
          <a:blip xmlns:r="http://schemas.openxmlformats.org/officeDocument/2006/relationships" r:embed="rId1"/>
          <a:stretch>
            <a:fillRect/>
          </a:stretch>
        </a:blip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377910</xdr:colOff>
      <xdr:row>6</xdr:row>
      <xdr:rowOff>142727</xdr:rowOff>
    </xdr:from>
    <xdr:to>
      <xdr:col>8</xdr:col>
      <xdr:colOff>101712</xdr:colOff>
      <xdr:row>15</xdr:row>
      <xdr:rowOff>131830</xdr:rowOff>
    </xdr:to>
    <xdr:sp macro="" textlink="">
      <xdr:nvSpPr>
        <xdr:cNvPr id="88" name="Rectangle: Rounded Corners 87">
          <a:extLst>
            <a:ext uri="{FF2B5EF4-FFF2-40B4-BE49-F238E27FC236}">
              <a16:creationId xmlns:a16="http://schemas.microsoft.com/office/drawing/2014/main" id="{34E3B882-48E6-8E54-3D63-E340247045ED}"/>
            </a:ext>
          </a:extLst>
        </xdr:cNvPr>
        <xdr:cNvSpPr/>
      </xdr:nvSpPr>
      <xdr:spPr>
        <a:xfrm>
          <a:off x="2792699" y="1269628"/>
          <a:ext cx="2138590" cy="1679456"/>
        </a:xfrm>
        <a:prstGeom prst="roundRect">
          <a:avLst>
            <a:gd name="adj" fmla="val 1763"/>
          </a:avLst>
        </a:prstGeom>
        <a:blipFill>
          <a:blip xmlns:r="http://schemas.openxmlformats.org/officeDocument/2006/relationships" r:embed="rId2"/>
          <a:stretch>
            <a:fillRect/>
          </a:stretch>
        </a:blip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490265</xdr:colOff>
      <xdr:row>16</xdr:row>
      <xdr:rowOff>4158</xdr:rowOff>
    </xdr:from>
    <xdr:to>
      <xdr:col>20</xdr:col>
      <xdr:colOff>551166</xdr:colOff>
      <xdr:row>16</xdr:row>
      <xdr:rowOff>4159</xdr:rowOff>
    </xdr:to>
    <xdr:cxnSp macro="">
      <xdr:nvCxnSpPr>
        <xdr:cNvPr id="92" name="Straight Connector 91">
          <a:extLst>
            <a:ext uri="{FF2B5EF4-FFF2-40B4-BE49-F238E27FC236}">
              <a16:creationId xmlns:a16="http://schemas.microsoft.com/office/drawing/2014/main" id="{EA1785E7-70A3-4CBC-AFAB-5859D7D74EB9}"/>
            </a:ext>
          </a:extLst>
        </xdr:cNvPr>
        <xdr:cNvCxnSpPr/>
      </xdr:nvCxnSpPr>
      <xdr:spPr>
        <a:xfrm>
          <a:off x="10149420" y="3009228"/>
          <a:ext cx="2475690" cy="1"/>
        </a:xfrm>
        <a:prstGeom prst="line">
          <a:avLst/>
        </a:prstGeom>
        <a:ln>
          <a:solidFill>
            <a:schemeClr val="bg1">
              <a:lumMod val="85000"/>
              <a:alpha val="5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433159</xdr:colOff>
      <xdr:row>4</xdr:row>
      <xdr:rowOff>138520</xdr:rowOff>
    </xdr:from>
    <xdr:to>
      <xdr:col>5</xdr:col>
      <xdr:colOff>54367</xdr:colOff>
      <xdr:row>5</xdr:row>
      <xdr:rowOff>171017</xdr:rowOff>
    </xdr:to>
    <xdr:pic>
      <xdr:nvPicPr>
        <xdr:cNvPr id="108" name="Picture 107">
          <a:extLst>
            <a:ext uri="{FF2B5EF4-FFF2-40B4-BE49-F238E27FC236}">
              <a16:creationId xmlns:a16="http://schemas.microsoft.com/office/drawing/2014/main" id="{BC59690E-9BA1-E399-30C8-E866FEABA4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47948" y="889788"/>
          <a:ext cx="224905" cy="220314"/>
        </a:xfrm>
        <a:prstGeom prst="rect">
          <a:avLst/>
        </a:prstGeom>
      </xdr:spPr>
    </xdr:pic>
    <xdr:clientData/>
  </xdr:twoCellAnchor>
  <xdr:twoCellAnchor>
    <xdr:from>
      <xdr:col>21</xdr:col>
      <xdr:colOff>112066</xdr:colOff>
      <xdr:row>1</xdr:row>
      <xdr:rowOff>177358</xdr:rowOff>
    </xdr:from>
    <xdr:to>
      <xdr:col>21</xdr:col>
      <xdr:colOff>546294</xdr:colOff>
      <xdr:row>3</xdr:row>
      <xdr:rowOff>121327</xdr:rowOff>
    </xdr:to>
    <xdr:grpSp>
      <xdr:nvGrpSpPr>
        <xdr:cNvPr id="111" name="Group 110">
          <a:extLst>
            <a:ext uri="{FF2B5EF4-FFF2-40B4-BE49-F238E27FC236}">
              <a16:creationId xmlns:a16="http://schemas.microsoft.com/office/drawing/2014/main" id="{119067AD-ADE3-252D-636A-F811872E3A00}"/>
            </a:ext>
          </a:extLst>
        </xdr:cNvPr>
        <xdr:cNvGrpSpPr/>
      </xdr:nvGrpSpPr>
      <xdr:grpSpPr>
        <a:xfrm>
          <a:off x="12789707" y="365175"/>
          <a:ext cx="434228" cy="319603"/>
          <a:chOff x="13222941" y="266141"/>
          <a:chExt cx="434228" cy="336175"/>
        </a:xfrm>
      </xdr:grpSpPr>
      <xdr:sp macro="[0]!Refresh" textlink="">
        <xdr:nvSpPr>
          <xdr:cNvPr id="110" name="Rectangle: Rounded Corners 109">
            <a:extLst>
              <a:ext uri="{FF2B5EF4-FFF2-40B4-BE49-F238E27FC236}">
                <a16:creationId xmlns:a16="http://schemas.microsoft.com/office/drawing/2014/main" id="{2F475FCA-831F-D197-AFB4-5FBC8E58DC3F}"/>
              </a:ext>
            </a:extLst>
          </xdr:cNvPr>
          <xdr:cNvSpPr/>
        </xdr:nvSpPr>
        <xdr:spPr>
          <a:xfrm>
            <a:off x="13222941" y="266141"/>
            <a:ext cx="434228" cy="336175"/>
          </a:xfrm>
          <a:prstGeom prst="roundRect">
            <a:avLst/>
          </a:prstGeom>
          <a:solidFill>
            <a:srgbClr val="00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macro="[0]!Refresh">
        <xdr:nvPicPr>
          <xdr:cNvPr id="104" name="Picture 103">
            <a:extLst>
              <a:ext uri="{FF2B5EF4-FFF2-40B4-BE49-F238E27FC236}">
                <a16:creationId xmlns:a16="http://schemas.microsoft.com/office/drawing/2014/main" id="{8574C277-1B2F-0448-ACD4-AA07C864B3A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25755" y="318088"/>
            <a:ext cx="228600" cy="228600"/>
          </a:xfrm>
          <a:prstGeom prst="rect">
            <a:avLst/>
          </a:prstGeom>
        </xdr:spPr>
      </xdr:pic>
    </xdr:grpSp>
    <xdr:clientData/>
  </xdr:twoCellAnchor>
  <xdr:twoCellAnchor>
    <xdr:from>
      <xdr:col>4</xdr:col>
      <xdr:colOff>186365</xdr:colOff>
      <xdr:row>2</xdr:row>
      <xdr:rowOff>17352</xdr:rowOff>
    </xdr:from>
    <xdr:to>
      <xdr:col>10</xdr:col>
      <xdr:colOff>376910</xdr:colOff>
      <xdr:row>3</xdr:row>
      <xdr:rowOff>144819</xdr:rowOff>
    </xdr:to>
    <xdr:sp macro="" textlink="">
      <xdr:nvSpPr>
        <xdr:cNvPr id="112" name="TextBox 111">
          <a:extLst>
            <a:ext uri="{FF2B5EF4-FFF2-40B4-BE49-F238E27FC236}">
              <a16:creationId xmlns:a16="http://schemas.microsoft.com/office/drawing/2014/main" id="{8A270256-B796-405D-ACD3-E7A5D173170C}"/>
            </a:ext>
          </a:extLst>
        </xdr:cNvPr>
        <xdr:cNvSpPr txBox="1"/>
      </xdr:nvSpPr>
      <xdr:spPr>
        <a:xfrm>
          <a:off x="2601154" y="392986"/>
          <a:ext cx="3812728" cy="31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0" i="0" baseline="0">
              <a:solidFill>
                <a:schemeClr val="tx1">
                  <a:lumMod val="65000"/>
                  <a:lumOff val="35000"/>
                </a:schemeClr>
              </a:solidFill>
              <a:effectLst/>
              <a:latin typeface="Aharoni" panose="02010803020104030203" pitchFamily="2" charset="-79"/>
              <a:ea typeface="+mn-ea"/>
              <a:cs typeface="Aharoni" panose="02010803020104030203" pitchFamily="2" charset="-79"/>
            </a:rPr>
            <a:t>Food-Menu Dashboard Analysis</a:t>
          </a:r>
          <a:endParaRPr lang="en-US" sz="1800">
            <a:solidFill>
              <a:schemeClr val="tx1">
                <a:lumMod val="65000"/>
                <a:lumOff val="35000"/>
              </a:schemeClr>
            </a:solidFill>
            <a:latin typeface="Aharoni" panose="02010803020104030203" pitchFamily="2" charset="-79"/>
            <a:cs typeface="Aharoni" panose="02010803020104030203" pitchFamily="2" charset="-79"/>
          </a:endParaRPr>
        </a:p>
      </xdr:txBody>
    </xdr:sp>
    <xdr:clientData/>
  </xdr:twoCellAnchor>
  <xdr:twoCellAnchor editAs="oneCell">
    <xdr:from>
      <xdr:col>17</xdr:col>
      <xdr:colOff>552174</xdr:colOff>
      <xdr:row>1</xdr:row>
      <xdr:rowOff>148733</xdr:rowOff>
    </xdr:from>
    <xdr:to>
      <xdr:col>20</xdr:col>
      <xdr:colOff>580610</xdr:colOff>
      <xdr:row>3</xdr:row>
      <xdr:rowOff>121123</xdr:rowOff>
    </xdr:to>
    <mc:AlternateContent xmlns:mc="http://schemas.openxmlformats.org/markup-compatibility/2006" xmlns:a14="http://schemas.microsoft.com/office/drawing/2010/main">
      <mc:Choice Requires="a14">
        <xdr:graphicFrame macro="">
          <xdr:nvGraphicFramePr>
            <xdr:cNvPr id="113" name="Year 1">
              <a:extLst>
                <a:ext uri="{FF2B5EF4-FFF2-40B4-BE49-F238E27FC236}">
                  <a16:creationId xmlns:a16="http://schemas.microsoft.com/office/drawing/2014/main" id="{1665FB5B-C83F-4530-B67F-980B74BDAB2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15026" y="336550"/>
              <a:ext cx="1839528" cy="348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7888</xdr:colOff>
      <xdr:row>6</xdr:row>
      <xdr:rowOff>142727</xdr:rowOff>
    </xdr:from>
    <xdr:to>
      <xdr:col>15</xdr:col>
      <xdr:colOff>339081</xdr:colOff>
      <xdr:row>15</xdr:row>
      <xdr:rowOff>131830</xdr:rowOff>
    </xdr:to>
    <xdr:sp macro="" textlink="">
      <xdr:nvSpPr>
        <xdr:cNvPr id="9" name="Rectangle: Rounded Corners 8">
          <a:extLst>
            <a:ext uri="{FF2B5EF4-FFF2-40B4-BE49-F238E27FC236}">
              <a16:creationId xmlns:a16="http://schemas.microsoft.com/office/drawing/2014/main" id="{C4BBFEE0-0410-4DEC-8333-1E7296EB8900}"/>
            </a:ext>
          </a:extLst>
        </xdr:cNvPr>
        <xdr:cNvSpPr/>
      </xdr:nvSpPr>
      <xdr:spPr>
        <a:xfrm>
          <a:off x="7252254" y="1269628"/>
          <a:ext cx="2142285" cy="1679456"/>
        </a:xfrm>
        <a:prstGeom prst="roundRect">
          <a:avLst>
            <a:gd name="adj" fmla="val 1763"/>
          </a:avLst>
        </a:prstGeom>
        <a:blipFill>
          <a:blip xmlns:r="http://schemas.openxmlformats.org/officeDocument/2006/relationships" r:embed="rId5"/>
          <a:stretch>
            <a:fillRect/>
          </a:stretch>
        </a:blip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35069</xdr:colOff>
      <xdr:row>4</xdr:row>
      <xdr:rowOff>57545</xdr:rowOff>
    </xdr:from>
    <xdr:to>
      <xdr:col>12</xdr:col>
      <xdr:colOff>138043</xdr:colOff>
      <xdr:row>6</xdr:row>
      <xdr:rowOff>160985</xdr:rowOff>
    </xdr:to>
    <xdr:sp macro="" textlink="">
      <xdr:nvSpPr>
        <xdr:cNvPr id="10" name="TextBox 9">
          <a:extLst>
            <a:ext uri="{FF2B5EF4-FFF2-40B4-BE49-F238E27FC236}">
              <a16:creationId xmlns:a16="http://schemas.microsoft.com/office/drawing/2014/main" id="{3808DEF0-3A70-C8ED-56CD-FDEFB8E48275}"/>
            </a:ext>
          </a:extLst>
        </xdr:cNvPr>
        <xdr:cNvSpPr txBox="1"/>
      </xdr:nvSpPr>
      <xdr:spPr>
        <a:xfrm>
          <a:off x="3053555" y="808813"/>
          <a:ext cx="4328854" cy="47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a:solidFill>
                <a:srgbClr val="006600"/>
              </a:solidFill>
              <a:latin typeface="+mn-lt"/>
              <a:cs typeface="Aharoni" panose="02010803020104030203" pitchFamily="2" charset="-79"/>
            </a:rPr>
            <a:t>Each Category Has a Champion, But Why Do These Foods Win?</a:t>
          </a:r>
        </a:p>
        <a:p>
          <a:pPr marL="0" marR="0" lvl="0" indent="0" defTabSz="914400" rtl="0" eaLnBrk="1" fontAlgn="auto" latinLnBrk="0" hangingPunct="1">
            <a:lnSpc>
              <a:spcPct val="100000"/>
            </a:lnSpc>
            <a:spcBef>
              <a:spcPts val="0"/>
            </a:spcBef>
            <a:spcAft>
              <a:spcPts val="0"/>
            </a:spcAft>
            <a:buClrTx/>
            <a:buSzTx/>
            <a:buFontTx/>
            <a:buNone/>
            <a:tabLst/>
            <a:defRPr/>
          </a:pPr>
          <a:r>
            <a:rPr lang="en-US" sz="1050">
              <a:solidFill>
                <a:srgbClr val="006600"/>
              </a:solidFill>
              <a:latin typeface="+mn-lt"/>
            </a:rPr>
            <a:t>Top food items per category:</a:t>
          </a:r>
          <a:endParaRPr lang="en-US" sz="1050">
            <a:solidFill>
              <a:srgbClr val="006600"/>
            </a:solidFill>
            <a:latin typeface="+mn-lt"/>
            <a:cs typeface="Aharoni" panose="02010803020104030203" pitchFamily="2" charset="-79"/>
          </a:endParaRPr>
        </a:p>
      </xdr:txBody>
    </xdr:sp>
    <xdr:clientData/>
  </xdr:twoCellAnchor>
  <xdr:twoCellAnchor>
    <xdr:from>
      <xdr:col>3</xdr:col>
      <xdr:colOff>77407</xdr:colOff>
      <xdr:row>11</xdr:row>
      <xdr:rowOff>28589</xdr:rowOff>
    </xdr:from>
    <xdr:to>
      <xdr:col>3</xdr:col>
      <xdr:colOff>399031</xdr:colOff>
      <xdr:row>25</xdr:row>
      <xdr:rowOff>136112</xdr:rowOff>
    </xdr:to>
    <xdr:grpSp>
      <xdr:nvGrpSpPr>
        <xdr:cNvPr id="19" name="Group 18">
          <a:extLst>
            <a:ext uri="{FF2B5EF4-FFF2-40B4-BE49-F238E27FC236}">
              <a16:creationId xmlns:a16="http://schemas.microsoft.com/office/drawing/2014/main" id="{3942216F-7FBA-433D-9BB5-885981D14B15}"/>
            </a:ext>
          </a:extLst>
        </xdr:cNvPr>
        <xdr:cNvGrpSpPr/>
      </xdr:nvGrpSpPr>
      <xdr:grpSpPr>
        <a:xfrm>
          <a:off x="1888499" y="2094575"/>
          <a:ext cx="321624" cy="2736960"/>
          <a:chOff x="1781299" y="1979758"/>
          <a:chExt cx="321624" cy="2777206"/>
        </a:xfrm>
      </xdr:grpSpPr>
      <xdr:pic>
        <xdr:nvPicPr>
          <xdr:cNvPr id="20" name="Picture 19">
            <a:extLst>
              <a:ext uri="{FF2B5EF4-FFF2-40B4-BE49-F238E27FC236}">
                <a16:creationId xmlns:a16="http://schemas.microsoft.com/office/drawing/2014/main" id="{69BF2C66-7A06-AB06-3D50-CBFD9BFF98A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59822" y="4536073"/>
            <a:ext cx="228600" cy="220891"/>
          </a:xfrm>
          <a:prstGeom prst="rect">
            <a:avLst/>
          </a:prstGeom>
        </xdr:spPr>
      </xdr:pic>
      <xdr:sp macro="" textlink="">
        <xdr:nvSpPr>
          <xdr:cNvPr id="21" name="Rectangle: Rounded Corners 20">
            <a:extLst>
              <a:ext uri="{FF2B5EF4-FFF2-40B4-BE49-F238E27FC236}">
                <a16:creationId xmlns:a16="http://schemas.microsoft.com/office/drawing/2014/main" id="{B5E8A1D1-6AB6-1772-0160-A0E509AAE4D5}"/>
              </a:ext>
            </a:extLst>
          </xdr:cNvPr>
          <xdr:cNvSpPr/>
        </xdr:nvSpPr>
        <xdr:spPr>
          <a:xfrm>
            <a:off x="1781299" y="2418351"/>
            <a:ext cx="321624" cy="309254"/>
          </a:xfrm>
          <a:prstGeom prst="roundRect">
            <a:avLst>
              <a:gd name="adj" fmla="val 44667"/>
            </a:avLst>
          </a:prstGeom>
          <a:solidFill>
            <a:srgbClr val="AFDC7E">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macro="[0]!Home_page">
        <xdr:nvPicPr>
          <xdr:cNvPr id="22" name="Picture 21">
            <a:extLst>
              <a:ext uri="{FF2B5EF4-FFF2-40B4-BE49-F238E27FC236}">
                <a16:creationId xmlns:a16="http://schemas.microsoft.com/office/drawing/2014/main" id="{7FEFDF12-A219-CE66-0CDB-E0EA09E381B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34737" y="1979758"/>
            <a:ext cx="228600" cy="219617"/>
          </a:xfrm>
          <a:prstGeom prst="rect">
            <a:avLst/>
          </a:prstGeom>
        </xdr:spPr>
      </xdr:pic>
      <xdr:pic macro="[0]!Summary_page">
        <xdr:nvPicPr>
          <xdr:cNvPr id="23" name="Picture 22">
            <a:extLst>
              <a:ext uri="{FF2B5EF4-FFF2-40B4-BE49-F238E27FC236}">
                <a16:creationId xmlns:a16="http://schemas.microsoft.com/office/drawing/2014/main" id="{A7E8CD26-DBA4-E299-9055-4106E94F13B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34737" y="2884617"/>
            <a:ext cx="228600" cy="219617"/>
          </a:xfrm>
          <a:prstGeom prst="rect">
            <a:avLst/>
          </a:prstGeom>
        </xdr:spPr>
      </xdr:pic>
      <xdr:pic macro="[0]!Insight_page">
        <xdr:nvPicPr>
          <xdr:cNvPr id="24" name="Picture 23">
            <a:extLst>
              <a:ext uri="{FF2B5EF4-FFF2-40B4-BE49-F238E27FC236}">
                <a16:creationId xmlns:a16="http://schemas.microsoft.com/office/drawing/2014/main" id="{FCFA543D-7458-F9B6-47D0-8EE7ED4857A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834737" y="2461911"/>
            <a:ext cx="228600" cy="219617"/>
          </a:xfrm>
          <a:prstGeom prst="rect">
            <a:avLst/>
          </a:prstGeom>
        </xdr:spPr>
      </xdr:pic>
    </xdr:grpSp>
    <xdr:clientData/>
  </xdr:twoCellAnchor>
  <xdr:twoCellAnchor>
    <xdr:from>
      <xdr:col>3</xdr:col>
      <xdr:colOff>67889</xdr:colOff>
      <xdr:row>21</xdr:row>
      <xdr:rowOff>132769</xdr:rowOff>
    </xdr:from>
    <xdr:to>
      <xdr:col>3</xdr:col>
      <xdr:colOff>412070</xdr:colOff>
      <xdr:row>23</xdr:row>
      <xdr:rowOff>108519</xdr:rowOff>
    </xdr:to>
    <xdr:sp macro="" textlink="">
      <xdr:nvSpPr>
        <xdr:cNvPr id="65" name="Oval 64">
          <a:extLst>
            <a:ext uri="{FF2B5EF4-FFF2-40B4-BE49-F238E27FC236}">
              <a16:creationId xmlns:a16="http://schemas.microsoft.com/office/drawing/2014/main" id="{95545E79-F551-48D2-AA37-07438711DEC7}"/>
            </a:ext>
          </a:extLst>
        </xdr:cNvPr>
        <xdr:cNvSpPr/>
      </xdr:nvSpPr>
      <xdr:spPr>
        <a:xfrm>
          <a:off x="1878981" y="4076924"/>
          <a:ext cx="344181" cy="351384"/>
        </a:xfrm>
        <a:prstGeom prst="ellipse">
          <a:avLst/>
        </a:prstGeom>
        <a:blipFill>
          <a:blip xmlns:r="http://schemas.openxmlformats.org/officeDocument/2006/relationships" r:embed="rId10"/>
          <a:stretch>
            <a:fillRect/>
          </a:stretch>
        </a:blipFill>
        <a:ln>
          <a:solidFill>
            <a:srgbClr val="AFDC7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56883</xdr:colOff>
      <xdr:row>12</xdr:row>
      <xdr:rowOff>0</xdr:rowOff>
    </xdr:from>
    <xdr:to>
      <xdr:col>22</xdr:col>
      <xdr:colOff>301494</xdr:colOff>
      <xdr:row>26</xdr:row>
      <xdr:rowOff>85591</xdr:rowOff>
    </xdr:to>
    <xdr:sp macro="" textlink="">
      <xdr:nvSpPr>
        <xdr:cNvPr id="68" name="TextBox 67">
          <a:extLst>
            <a:ext uri="{FF2B5EF4-FFF2-40B4-BE49-F238E27FC236}">
              <a16:creationId xmlns:a16="http://schemas.microsoft.com/office/drawing/2014/main" id="{3D8764C1-1E24-47ED-B367-3872F8E3F6A3}"/>
            </a:ext>
          </a:extLst>
        </xdr:cNvPr>
        <xdr:cNvSpPr txBox="1"/>
      </xdr:nvSpPr>
      <xdr:spPr>
        <a:xfrm rot="5400000">
          <a:off x="12103013" y="3489011"/>
          <a:ext cx="2715027" cy="24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0" i="0" baseline="0">
              <a:solidFill>
                <a:schemeClr val="tx1"/>
              </a:solidFill>
              <a:effectLst/>
              <a:latin typeface="+mn-lt"/>
              <a:ea typeface="+mn-ea"/>
              <a:cs typeface="Aharoni" panose="02010803020104030203" pitchFamily="2" charset="-79"/>
            </a:rPr>
            <a:t>LinkedIn: Naheemat Akinyemi</a:t>
          </a:r>
          <a:endParaRPr lang="en-US" sz="1050" b="0">
            <a:solidFill>
              <a:schemeClr val="tx1"/>
            </a:solidFill>
            <a:latin typeface="+mn-lt"/>
            <a:cs typeface="Aharoni" panose="02010803020104030203" pitchFamily="2" charset="-79"/>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220869</xdr:colOff>
      <xdr:row>0</xdr:row>
      <xdr:rowOff>0</xdr:rowOff>
    </xdr:from>
    <xdr:to>
      <xdr:col>23</xdr:col>
      <xdr:colOff>13804</xdr:colOff>
      <xdr:row>36</xdr:row>
      <xdr:rowOff>138044</xdr:rowOff>
    </xdr:to>
    <xdr:sp macro="" textlink="">
      <xdr:nvSpPr>
        <xdr:cNvPr id="126" name="Rectangle 125">
          <a:extLst>
            <a:ext uri="{FF2B5EF4-FFF2-40B4-BE49-F238E27FC236}">
              <a16:creationId xmlns:a16="http://schemas.microsoft.com/office/drawing/2014/main" id="{4C395AA0-F05B-4C96-80AB-4ED058D858F6}"/>
            </a:ext>
          </a:extLst>
        </xdr:cNvPr>
        <xdr:cNvSpPr/>
      </xdr:nvSpPr>
      <xdr:spPr>
        <a:xfrm>
          <a:off x="1435652" y="0"/>
          <a:ext cx="12548152" cy="7095435"/>
        </a:xfrm>
        <a:prstGeom prst="rect">
          <a:avLst/>
        </a:prstGeom>
        <a:solidFill>
          <a:srgbClr val="BBF8AA"/>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322901</xdr:colOff>
      <xdr:row>1</xdr:row>
      <xdr:rowOff>124239</xdr:rowOff>
    </xdr:from>
    <xdr:to>
      <xdr:col>22</xdr:col>
      <xdr:colOff>303931</xdr:colOff>
      <xdr:row>35</xdr:row>
      <xdr:rowOff>58350</xdr:rowOff>
    </xdr:to>
    <xdr:sp macro="" textlink="">
      <xdr:nvSpPr>
        <xdr:cNvPr id="17" name="Rectangle: Rounded Corners 16">
          <a:extLst>
            <a:ext uri="{FF2B5EF4-FFF2-40B4-BE49-F238E27FC236}">
              <a16:creationId xmlns:a16="http://schemas.microsoft.com/office/drawing/2014/main" id="{8714F67A-966E-4613-94D4-3BA817CB53B0}"/>
            </a:ext>
          </a:extLst>
        </xdr:cNvPr>
        <xdr:cNvSpPr/>
      </xdr:nvSpPr>
      <xdr:spPr>
        <a:xfrm>
          <a:off x="2145075" y="317500"/>
          <a:ext cx="11521465" cy="6504980"/>
        </a:xfrm>
        <a:prstGeom prst="roundRect">
          <a:avLst>
            <a:gd name="adj" fmla="val 2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593586</xdr:colOff>
      <xdr:row>9</xdr:row>
      <xdr:rowOff>32555</xdr:rowOff>
    </xdr:from>
    <xdr:to>
      <xdr:col>3</xdr:col>
      <xdr:colOff>510417</xdr:colOff>
      <xdr:row>27</xdr:row>
      <xdr:rowOff>72936</xdr:rowOff>
    </xdr:to>
    <xdr:sp macro="" textlink="">
      <xdr:nvSpPr>
        <xdr:cNvPr id="18" name="Rectangle: Rounded Corners 17">
          <a:extLst>
            <a:ext uri="{FF2B5EF4-FFF2-40B4-BE49-F238E27FC236}">
              <a16:creationId xmlns:a16="http://schemas.microsoft.com/office/drawing/2014/main" id="{DB48070E-AB71-45B6-A27D-B11495B297DC}"/>
            </a:ext>
          </a:extLst>
        </xdr:cNvPr>
        <xdr:cNvSpPr/>
      </xdr:nvSpPr>
      <xdr:spPr>
        <a:xfrm>
          <a:off x="1808369" y="1771903"/>
          <a:ext cx="524222" cy="3519076"/>
        </a:xfrm>
        <a:prstGeom prst="roundRect">
          <a:avLst>
            <a:gd name="adj" fmla="val 44327"/>
          </a:avLst>
        </a:prstGeom>
        <a:solidFill>
          <a:srgbClr val="00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245309</xdr:colOff>
      <xdr:row>4</xdr:row>
      <xdr:rowOff>95997</xdr:rowOff>
    </xdr:from>
    <xdr:to>
      <xdr:col>15</xdr:col>
      <xdr:colOff>111583</xdr:colOff>
      <xdr:row>11</xdr:row>
      <xdr:rowOff>159631</xdr:rowOff>
    </xdr:to>
    <xdr:sp macro="" textlink="">
      <xdr:nvSpPr>
        <xdr:cNvPr id="19" name="Rectangle: Rounded Corners 18">
          <a:extLst>
            <a:ext uri="{FF2B5EF4-FFF2-40B4-BE49-F238E27FC236}">
              <a16:creationId xmlns:a16="http://schemas.microsoft.com/office/drawing/2014/main" id="{F03A7766-7B11-4462-AA4D-8FC667EF65E2}"/>
            </a:ext>
          </a:extLst>
        </xdr:cNvPr>
        <xdr:cNvSpPr/>
      </xdr:nvSpPr>
      <xdr:spPr>
        <a:xfrm>
          <a:off x="2674874" y="869040"/>
          <a:ext cx="6547579" cy="1416461"/>
        </a:xfrm>
        <a:prstGeom prst="roundRect">
          <a:avLst>
            <a:gd name="adj" fmla="val 2174"/>
          </a:avLst>
        </a:prstGeom>
        <a:solidFill>
          <a:srgbClr val="AFDC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454693</xdr:colOff>
      <xdr:row>7</xdr:row>
      <xdr:rowOff>62090</xdr:rowOff>
    </xdr:from>
    <xdr:to>
      <xdr:col>7</xdr:col>
      <xdr:colOff>69968</xdr:colOff>
      <xdr:row>11</xdr:row>
      <xdr:rowOff>69901</xdr:rowOff>
    </xdr:to>
    <xdr:sp macro="" textlink="">
      <xdr:nvSpPr>
        <xdr:cNvPr id="20" name="Rectangle: Rounded Corners 19">
          <a:extLst>
            <a:ext uri="{FF2B5EF4-FFF2-40B4-BE49-F238E27FC236}">
              <a16:creationId xmlns:a16="http://schemas.microsoft.com/office/drawing/2014/main" id="{5567B2E9-1218-45BD-804D-F9D35440F252}"/>
            </a:ext>
          </a:extLst>
        </xdr:cNvPr>
        <xdr:cNvSpPr/>
      </xdr:nvSpPr>
      <xdr:spPr>
        <a:xfrm>
          <a:off x="2884258" y="1414916"/>
          <a:ext cx="1437449" cy="780855"/>
        </a:xfrm>
        <a:prstGeom prst="roundRect">
          <a:avLst>
            <a:gd name="adj" fmla="val 8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haroni" panose="02010803020104030203" pitchFamily="2" charset="-79"/>
            <a:cs typeface="Aharoni" panose="02010803020104030203" pitchFamily="2" charset="-79"/>
          </a:endParaRPr>
        </a:p>
      </xdr:txBody>
    </xdr:sp>
    <xdr:clientData/>
  </xdr:twoCellAnchor>
  <xdr:twoCellAnchor>
    <xdr:from>
      <xdr:col>7</xdr:col>
      <xdr:colOff>217447</xdr:colOff>
      <xdr:row>7</xdr:row>
      <xdr:rowOff>60423</xdr:rowOff>
    </xdr:from>
    <xdr:to>
      <xdr:col>9</xdr:col>
      <xdr:colOff>440149</xdr:colOff>
      <xdr:row>11</xdr:row>
      <xdr:rowOff>68984</xdr:rowOff>
    </xdr:to>
    <xdr:sp macro="" textlink="">
      <xdr:nvSpPr>
        <xdr:cNvPr id="21" name="Rectangle: Rounded Corners 20">
          <a:extLst>
            <a:ext uri="{FF2B5EF4-FFF2-40B4-BE49-F238E27FC236}">
              <a16:creationId xmlns:a16="http://schemas.microsoft.com/office/drawing/2014/main" id="{3B6AE685-1E6E-4A85-A6FA-3A9A73FB849A}"/>
            </a:ext>
          </a:extLst>
        </xdr:cNvPr>
        <xdr:cNvSpPr/>
      </xdr:nvSpPr>
      <xdr:spPr>
        <a:xfrm>
          <a:off x="4469186" y="1413249"/>
          <a:ext cx="1437485" cy="781605"/>
        </a:xfrm>
        <a:prstGeom prst="roundRect">
          <a:avLst>
            <a:gd name="adj" fmla="val 8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569782</xdr:colOff>
      <xdr:row>7</xdr:row>
      <xdr:rowOff>58760</xdr:rowOff>
    </xdr:from>
    <xdr:to>
      <xdr:col>12</xdr:col>
      <xdr:colOff>174889</xdr:colOff>
      <xdr:row>11</xdr:row>
      <xdr:rowOff>69901</xdr:rowOff>
    </xdr:to>
    <xdr:sp macro="" textlink="">
      <xdr:nvSpPr>
        <xdr:cNvPr id="22" name="Rectangle: Rounded Corners 21">
          <a:extLst>
            <a:ext uri="{FF2B5EF4-FFF2-40B4-BE49-F238E27FC236}">
              <a16:creationId xmlns:a16="http://schemas.microsoft.com/office/drawing/2014/main" id="{65CB96DE-FACD-4FB4-A453-75BBC275D9B1}"/>
            </a:ext>
          </a:extLst>
        </xdr:cNvPr>
        <xdr:cNvSpPr/>
      </xdr:nvSpPr>
      <xdr:spPr>
        <a:xfrm>
          <a:off x="6036304" y="1411586"/>
          <a:ext cx="1427281" cy="784185"/>
        </a:xfrm>
        <a:prstGeom prst="roundRect">
          <a:avLst>
            <a:gd name="adj" fmla="val 8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304522</xdr:colOff>
      <xdr:row>7</xdr:row>
      <xdr:rowOff>57094</xdr:rowOff>
    </xdr:from>
    <xdr:to>
      <xdr:col>14</xdr:col>
      <xdr:colOff>527223</xdr:colOff>
      <xdr:row>11</xdr:row>
      <xdr:rowOff>65655</xdr:rowOff>
    </xdr:to>
    <xdr:sp macro="" textlink="">
      <xdr:nvSpPr>
        <xdr:cNvPr id="23" name="Rectangle: Rounded Corners 22">
          <a:extLst>
            <a:ext uri="{FF2B5EF4-FFF2-40B4-BE49-F238E27FC236}">
              <a16:creationId xmlns:a16="http://schemas.microsoft.com/office/drawing/2014/main" id="{8EE250A9-4F7C-4ACA-84BC-71678B993413}"/>
            </a:ext>
          </a:extLst>
        </xdr:cNvPr>
        <xdr:cNvSpPr/>
      </xdr:nvSpPr>
      <xdr:spPr>
        <a:xfrm>
          <a:off x="7593218" y="1409920"/>
          <a:ext cx="1437483" cy="781605"/>
        </a:xfrm>
        <a:prstGeom prst="roundRect">
          <a:avLst>
            <a:gd name="adj" fmla="val 8858"/>
          </a:avLst>
        </a:prstGeom>
        <a:solidFill>
          <a:srgbClr val="00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229606</xdr:colOff>
      <xdr:row>21</xdr:row>
      <xdr:rowOff>117599</xdr:rowOff>
    </xdr:from>
    <xdr:to>
      <xdr:col>9</xdr:col>
      <xdr:colOff>601164</xdr:colOff>
      <xdr:row>34</xdr:row>
      <xdr:rowOff>76043</xdr:rowOff>
    </xdr:to>
    <xdr:sp macro="" textlink="">
      <xdr:nvSpPr>
        <xdr:cNvPr id="24" name="Rectangle: Rounded Corners 23">
          <a:extLst>
            <a:ext uri="{FF2B5EF4-FFF2-40B4-BE49-F238E27FC236}">
              <a16:creationId xmlns:a16="http://schemas.microsoft.com/office/drawing/2014/main" id="{6B773F91-3D51-44AD-BC6A-133658D20FC7}"/>
            </a:ext>
          </a:extLst>
        </xdr:cNvPr>
        <xdr:cNvSpPr/>
      </xdr:nvSpPr>
      <xdr:spPr>
        <a:xfrm>
          <a:off x="2659171" y="4176077"/>
          <a:ext cx="3408515" cy="2470836"/>
        </a:xfrm>
        <a:prstGeom prst="roundRect">
          <a:avLst>
            <a:gd name="adj" fmla="val 8858"/>
          </a:avLst>
        </a:prstGeom>
        <a:solidFill>
          <a:schemeClr val="bg1">
            <a:alpha val="4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242704</xdr:colOff>
      <xdr:row>12</xdr:row>
      <xdr:rowOff>16160</xdr:rowOff>
    </xdr:from>
    <xdr:to>
      <xdr:col>15</xdr:col>
      <xdr:colOff>110435</xdr:colOff>
      <xdr:row>34</xdr:row>
      <xdr:rowOff>127734</xdr:rowOff>
    </xdr:to>
    <xdr:sp macro="" textlink="">
      <xdr:nvSpPr>
        <xdr:cNvPr id="25" name="Rectangle: Rounded Corners 24">
          <a:extLst>
            <a:ext uri="{FF2B5EF4-FFF2-40B4-BE49-F238E27FC236}">
              <a16:creationId xmlns:a16="http://schemas.microsoft.com/office/drawing/2014/main" id="{523959F3-EF4F-4185-A890-FCAD84CD4BA9}"/>
            </a:ext>
          </a:extLst>
        </xdr:cNvPr>
        <xdr:cNvSpPr/>
      </xdr:nvSpPr>
      <xdr:spPr>
        <a:xfrm>
          <a:off x="2672269" y="2335290"/>
          <a:ext cx="6549036" cy="4363314"/>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201909</xdr:colOff>
      <xdr:row>4</xdr:row>
      <xdr:rowOff>85023</xdr:rowOff>
    </xdr:from>
    <xdr:to>
      <xdr:col>22</xdr:col>
      <xdr:colOff>151847</xdr:colOff>
      <xdr:row>34</xdr:row>
      <xdr:rowOff>124547</xdr:rowOff>
    </xdr:to>
    <xdr:sp macro="" textlink="">
      <xdr:nvSpPr>
        <xdr:cNvPr id="33" name="Rectangle: Rounded Corners 32">
          <a:extLst>
            <a:ext uri="{FF2B5EF4-FFF2-40B4-BE49-F238E27FC236}">
              <a16:creationId xmlns:a16="http://schemas.microsoft.com/office/drawing/2014/main" id="{68C872C1-15BF-47A8-91B8-5E5401DBEF4B}"/>
            </a:ext>
          </a:extLst>
        </xdr:cNvPr>
        <xdr:cNvSpPr/>
      </xdr:nvSpPr>
      <xdr:spPr>
        <a:xfrm>
          <a:off x="9312779" y="858066"/>
          <a:ext cx="4201677" cy="5837351"/>
        </a:xfrm>
        <a:prstGeom prst="roundRect">
          <a:avLst>
            <a:gd name="adj" fmla="val 1763"/>
          </a:avLst>
        </a:prstGeom>
        <a:solidFill>
          <a:schemeClr val="bg1">
            <a:alpha val="29000"/>
          </a:schemeClr>
        </a:solidFill>
        <a:ln w="3175">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229788</xdr:colOff>
      <xdr:row>2</xdr:row>
      <xdr:rowOff>45744</xdr:rowOff>
    </xdr:from>
    <xdr:to>
      <xdr:col>22</xdr:col>
      <xdr:colOff>56624</xdr:colOff>
      <xdr:row>3</xdr:row>
      <xdr:rowOff>180606</xdr:rowOff>
    </xdr:to>
    <xdr:grpSp>
      <xdr:nvGrpSpPr>
        <xdr:cNvPr id="41" name="Group 40">
          <a:extLst>
            <a:ext uri="{FF2B5EF4-FFF2-40B4-BE49-F238E27FC236}">
              <a16:creationId xmlns:a16="http://schemas.microsoft.com/office/drawing/2014/main" id="{29BEF375-243B-42BA-B722-7855435A0A8A}"/>
            </a:ext>
          </a:extLst>
        </xdr:cNvPr>
        <xdr:cNvGrpSpPr/>
      </xdr:nvGrpSpPr>
      <xdr:grpSpPr>
        <a:xfrm>
          <a:off x="12981382" y="426744"/>
          <a:ext cx="434055" cy="325362"/>
          <a:chOff x="13222941" y="266141"/>
          <a:chExt cx="434228" cy="336175"/>
        </a:xfrm>
      </xdr:grpSpPr>
      <xdr:sp macro="[0]!Refresh" textlink="">
        <xdr:nvSpPr>
          <xdr:cNvPr id="42" name="Rectangle: Rounded Corners 41">
            <a:extLst>
              <a:ext uri="{FF2B5EF4-FFF2-40B4-BE49-F238E27FC236}">
                <a16:creationId xmlns:a16="http://schemas.microsoft.com/office/drawing/2014/main" id="{F760C4E1-9E7E-2C01-A18A-B13FA6A3B562}"/>
              </a:ext>
            </a:extLst>
          </xdr:cNvPr>
          <xdr:cNvSpPr/>
        </xdr:nvSpPr>
        <xdr:spPr>
          <a:xfrm>
            <a:off x="13222941" y="266141"/>
            <a:ext cx="434228" cy="336175"/>
          </a:xfrm>
          <a:prstGeom prst="roundRect">
            <a:avLst/>
          </a:prstGeom>
          <a:solidFill>
            <a:srgbClr val="00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macro="[0]!Refresh">
        <xdr:nvPicPr>
          <xdr:cNvPr id="43" name="Picture 42">
            <a:extLst>
              <a:ext uri="{FF2B5EF4-FFF2-40B4-BE49-F238E27FC236}">
                <a16:creationId xmlns:a16="http://schemas.microsoft.com/office/drawing/2014/main" id="{F8F84F19-D43C-3D60-5790-E9D301E01A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25755" y="318088"/>
            <a:ext cx="228600" cy="228600"/>
          </a:xfrm>
          <a:prstGeom prst="rect">
            <a:avLst/>
          </a:prstGeom>
        </xdr:spPr>
      </xdr:pic>
    </xdr:grpSp>
    <xdr:clientData/>
  </xdr:twoCellAnchor>
  <xdr:twoCellAnchor>
    <xdr:from>
      <xdr:col>5</xdr:col>
      <xdr:colOff>9813</xdr:colOff>
      <xdr:row>4</xdr:row>
      <xdr:rowOff>160781</xdr:rowOff>
    </xdr:from>
    <xdr:to>
      <xdr:col>13</xdr:col>
      <xdr:colOff>215408</xdr:colOff>
      <xdr:row>7</xdr:row>
      <xdr:rowOff>30790</xdr:rowOff>
    </xdr:to>
    <xdr:sp macro="" textlink="">
      <xdr:nvSpPr>
        <xdr:cNvPr id="44" name="TextBox 43">
          <a:extLst>
            <a:ext uri="{FF2B5EF4-FFF2-40B4-BE49-F238E27FC236}">
              <a16:creationId xmlns:a16="http://schemas.microsoft.com/office/drawing/2014/main" id="{8918B69D-D826-4DEC-A765-BA3CEB38DAC1}"/>
            </a:ext>
          </a:extLst>
        </xdr:cNvPr>
        <xdr:cNvSpPr txBox="1"/>
      </xdr:nvSpPr>
      <xdr:spPr>
        <a:xfrm>
          <a:off x="3046770" y="933824"/>
          <a:ext cx="5064725" cy="449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a:solidFill>
                <a:srgbClr val="006600"/>
              </a:solidFill>
              <a:latin typeface="+mn-lt"/>
              <a:cs typeface="Aharoni" panose="02010803020104030203" pitchFamily="2" charset="-79"/>
            </a:rPr>
            <a:t>This dashboard reveals how pricing, popularity, and food origin shape customer preferences.</a:t>
          </a:r>
          <a:r>
            <a:rPr lang="en-US" sz="1100" baseline="0">
              <a:solidFill>
                <a:srgbClr val="006600"/>
              </a:solidFill>
              <a:latin typeface="Aharoni" panose="02010803020104030203" pitchFamily="2" charset="-79"/>
              <a:cs typeface="Aharoni" panose="02010803020104030203" pitchFamily="2" charset="-79"/>
            </a:rPr>
            <a:t> </a:t>
          </a:r>
          <a:r>
            <a:rPr lang="en-US" sz="1100" baseline="0">
              <a:solidFill>
                <a:srgbClr val="006600"/>
              </a:solidFill>
              <a:latin typeface="Abadi" panose="020B0604020104020204" pitchFamily="34" charset="0"/>
              <a:cs typeface="Aharoni" panose="02010803020104030203" pitchFamily="2" charset="-79"/>
            </a:rPr>
            <a:t>T</a:t>
          </a:r>
          <a:r>
            <a:rPr lang="en-US" sz="1100">
              <a:solidFill>
                <a:srgbClr val="006600"/>
              </a:solidFill>
              <a:latin typeface="Abadi" panose="020B0604020104020204" pitchFamily="34" charset="0"/>
              <a:cs typeface="Aharoni" panose="02010803020104030203" pitchFamily="2" charset="-79"/>
            </a:rPr>
            <a:t>urning everyday choices into actionable business insights.</a:t>
          </a:r>
        </a:p>
      </xdr:txBody>
    </xdr:sp>
    <xdr:clientData/>
  </xdr:twoCellAnchor>
  <xdr:twoCellAnchor>
    <xdr:from>
      <xdr:col>4</xdr:col>
      <xdr:colOff>182311</xdr:colOff>
      <xdr:row>2</xdr:row>
      <xdr:rowOff>100961</xdr:rowOff>
    </xdr:from>
    <xdr:to>
      <xdr:col>10</xdr:col>
      <xdr:colOff>451809</xdr:colOff>
      <xdr:row>4</xdr:row>
      <xdr:rowOff>30191</xdr:rowOff>
    </xdr:to>
    <xdr:sp macro="" textlink="">
      <xdr:nvSpPr>
        <xdr:cNvPr id="45" name="TextBox 44">
          <a:extLst>
            <a:ext uri="{FF2B5EF4-FFF2-40B4-BE49-F238E27FC236}">
              <a16:creationId xmlns:a16="http://schemas.microsoft.com/office/drawing/2014/main" id="{851DF096-6C87-416C-99AE-853C075142B0}"/>
            </a:ext>
          </a:extLst>
        </xdr:cNvPr>
        <xdr:cNvSpPr txBox="1"/>
      </xdr:nvSpPr>
      <xdr:spPr>
        <a:xfrm>
          <a:off x="2611876" y="487483"/>
          <a:ext cx="3913846" cy="31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0" i="0" baseline="0">
              <a:solidFill>
                <a:schemeClr val="tx1">
                  <a:lumMod val="65000"/>
                  <a:lumOff val="35000"/>
                </a:schemeClr>
              </a:solidFill>
              <a:effectLst/>
              <a:latin typeface="Aharoni" panose="02010803020104030203" pitchFamily="2" charset="-79"/>
              <a:ea typeface="+mn-ea"/>
              <a:cs typeface="Aharoni" panose="02010803020104030203" pitchFamily="2" charset="-79"/>
            </a:rPr>
            <a:t>Food-Menu Dashboard Analysis</a:t>
          </a:r>
          <a:endParaRPr lang="en-US" sz="1800">
            <a:solidFill>
              <a:schemeClr val="tx1">
                <a:lumMod val="65000"/>
                <a:lumOff val="35000"/>
              </a:schemeClr>
            </a:solidFill>
            <a:latin typeface="Aharoni" panose="02010803020104030203" pitchFamily="2" charset="-79"/>
            <a:cs typeface="Aharoni" panose="02010803020104030203" pitchFamily="2" charset="-79"/>
          </a:endParaRPr>
        </a:p>
      </xdr:txBody>
    </xdr:sp>
    <xdr:clientData/>
  </xdr:twoCellAnchor>
  <xdr:twoCellAnchor editAs="oneCell">
    <xdr:from>
      <xdr:col>4</xdr:col>
      <xdr:colOff>415621</xdr:colOff>
      <xdr:row>5</xdr:row>
      <xdr:rowOff>9204</xdr:rowOff>
    </xdr:from>
    <xdr:to>
      <xdr:col>5</xdr:col>
      <xdr:colOff>45761</xdr:colOff>
      <xdr:row>6</xdr:row>
      <xdr:rowOff>36491</xdr:rowOff>
    </xdr:to>
    <xdr:pic>
      <xdr:nvPicPr>
        <xdr:cNvPr id="46" name="Picture 45">
          <a:extLst>
            <a:ext uri="{FF2B5EF4-FFF2-40B4-BE49-F238E27FC236}">
              <a16:creationId xmlns:a16="http://schemas.microsoft.com/office/drawing/2014/main" id="{70152A65-DE01-44C5-9499-9C6A63B4FE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45186" y="975508"/>
          <a:ext cx="237532" cy="220548"/>
        </a:xfrm>
        <a:prstGeom prst="rect">
          <a:avLst/>
        </a:prstGeom>
      </xdr:spPr>
    </xdr:pic>
    <xdr:clientData/>
  </xdr:twoCellAnchor>
  <xdr:twoCellAnchor>
    <xdr:from>
      <xdr:col>4</xdr:col>
      <xdr:colOff>555175</xdr:colOff>
      <xdr:row>7</xdr:row>
      <xdr:rowOff>123350</xdr:rowOff>
    </xdr:from>
    <xdr:to>
      <xdr:col>6</xdr:col>
      <xdr:colOff>500221</xdr:colOff>
      <xdr:row>10</xdr:row>
      <xdr:rowOff>119368</xdr:rowOff>
    </xdr:to>
    <xdr:grpSp>
      <xdr:nvGrpSpPr>
        <xdr:cNvPr id="48" name="Group 47">
          <a:extLst>
            <a:ext uri="{FF2B5EF4-FFF2-40B4-BE49-F238E27FC236}">
              <a16:creationId xmlns:a16="http://schemas.microsoft.com/office/drawing/2014/main" id="{50E2144D-850D-4D20-8BDB-ECA5EC975665}"/>
            </a:ext>
          </a:extLst>
        </xdr:cNvPr>
        <xdr:cNvGrpSpPr/>
      </xdr:nvGrpSpPr>
      <xdr:grpSpPr>
        <a:xfrm>
          <a:off x="2984050" y="1456850"/>
          <a:ext cx="1159484" cy="567518"/>
          <a:chOff x="2899153" y="1305462"/>
          <a:chExt cx="1157529" cy="599540"/>
        </a:xfrm>
      </xdr:grpSpPr>
      <xdr:sp macro="" textlink="">
        <xdr:nvSpPr>
          <xdr:cNvPr id="50" name="TextBox 49">
            <a:extLst>
              <a:ext uri="{FF2B5EF4-FFF2-40B4-BE49-F238E27FC236}">
                <a16:creationId xmlns:a16="http://schemas.microsoft.com/office/drawing/2014/main" id="{5B5EA21F-8C24-E546-083B-6EC8F937C152}"/>
              </a:ext>
            </a:extLst>
          </xdr:cNvPr>
          <xdr:cNvSpPr txBox="1"/>
        </xdr:nvSpPr>
        <xdr:spPr>
          <a:xfrm>
            <a:off x="2899153" y="1642718"/>
            <a:ext cx="1104108" cy="26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tx1">
                    <a:lumMod val="50000"/>
                    <a:lumOff val="50000"/>
                  </a:schemeClr>
                </a:solidFill>
                <a:effectLst/>
                <a:latin typeface="+mn-lt"/>
                <a:ea typeface="+mn-ea"/>
                <a:cs typeface="Aharoni" panose="02010803020104030203" pitchFamily="2" charset="-79"/>
              </a:rPr>
              <a:t>Total Counts</a:t>
            </a:r>
            <a:endParaRPr lang="en-US" sz="1050" b="1">
              <a:solidFill>
                <a:schemeClr val="tx1">
                  <a:lumMod val="50000"/>
                  <a:lumOff val="50000"/>
                </a:schemeClr>
              </a:solidFill>
              <a:latin typeface="+mn-lt"/>
              <a:cs typeface="Aharoni" panose="02010803020104030203" pitchFamily="2" charset="-79"/>
            </a:endParaRPr>
          </a:p>
        </xdr:txBody>
      </xdr:sp>
      <xdr:grpSp>
        <xdr:nvGrpSpPr>
          <xdr:cNvPr id="51" name="Group 50">
            <a:extLst>
              <a:ext uri="{FF2B5EF4-FFF2-40B4-BE49-F238E27FC236}">
                <a16:creationId xmlns:a16="http://schemas.microsoft.com/office/drawing/2014/main" id="{7B13388F-F65F-3753-AE92-B00449E35B12}"/>
              </a:ext>
            </a:extLst>
          </xdr:cNvPr>
          <xdr:cNvGrpSpPr/>
        </xdr:nvGrpSpPr>
        <xdr:grpSpPr>
          <a:xfrm>
            <a:off x="3781256" y="1305462"/>
            <a:ext cx="275426" cy="228266"/>
            <a:chOff x="3795576" y="1294238"/>
            <a:chExt cx="275426" cy="226395"/>
          </a:xfrm>
        </xdr:grpSpPr>
        <xdr:sp macro="" textlink="">
          <xdr:nvSpPr>
            <xdr:cNvPr id="52" name="Rectangle: Rounded Corners 51">
              <a:extLst>
                <a:ext uri="{FF2B5EF4-FFF2-40B4-BE49-F238E27FC236}">
                  <a16:creationId xmlns:a16="http://schemas.microsoft.com/office/drawing/2014/main" id="{25A28517-6D55-801D-09BC-9FED6429C9FC}"/>
                </a:ext>
              </a:extLst>
            </xdr:cNvPr>
            <xdr:cNvSpPr/>
          </xdr:nvSpPr>
          <xdr:spPr>
            <a:xfrm>
              <a:off x="3795576" y="1294238"/>
              <a:ext cx="275426" cy="226395"/>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3" name="Picture 52">
              <a:extLst>
                <a:ext uri="{FF2B5EF4-FFF2-40B4-BE49-F238E27FC236}">
                  <a16:creationId xmlns:a16="http://schemas.microsoft.com/office/drawing/2014/main" id="{C5D4017B-C70A-C538-B557-00A2BA28E89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49707" y="1334444"/>
              <a:ext cx="192024" cy="154608"/>
            </a:xfrm>
            <a:prstGeom prst="rect">
              <a:avLst/>
            </a:prstGeom>
          </xdr:spPr>
        </xdr:pic>
      </xdr:grpSp>
    </xdr:grpSp>
    <xdr:clientData/>
  </xdr:twoCellAnchor>
  <xdr:twoCellAnchor editAs="oneCell">
    <xdr:from>
      <xdr:col>17</xdr:col>
      <xdr:colOff>584101</xdr:colOff>
      <xdr:row>2</xdr:row>
      <xdr:rowOff>45745</xdr:rowOff>
    </xdr:from>
    <xdr:to>
      <xdr:col>21</xdr:col>
      <xdr:colOff>8597</xdr:colOff>
      <xdr:row>4</xdr:row>
      <xdr:rowOff>2031</xdr:rowOff>
    </xdr:to>
    <mc:AlternateContent xmlns:mc="http://schemas.openxmlformats.org/markup-compatibility/2006" xmlns:a14="http://schemas.microsoft.com/office/drawing/2010/main">
      <mc:Choice Requires="a14">
        <xdr:graphicFrame macro="">
          <xdr:nvGraphicFramePr>
            <xdr:cNvPr id="55" name="Year 2">
              <a:extLst>
                <a:ext uri="{FF2B5EF4-FFF2-40B4-BE49-F238E27FC236}">
                  <a16:creationId xmlns:a16="http://schemas.microsoft.com/office/drawing/2014/main" id="{C2B20F4E-508A-4A00-8858-A5D25A9C9F9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909753" y="432267"/>
              <a:ext cx="1854061" cy="342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386981</xdr:colOff>
      <xdr:row>7</xdr:row>
      <xdr:rowOff>151663</xdr:rowOff>
    </xdr:from>
    <xdr:to>
      <xdr:col>14</xdr:col>
      <xdr:colOff>332029</xdr:colOff>
      <xdr:row>10</xdr:row>
      <xdr:rowOff>147507</xdr:rowOff>
    </xdr:to>
    <xdr:grpSp>
      <xdr:nvGrpSpPr>
        <xdr:cNvPr id="56" name="Group 55">
          <a:extLst>
            <a:ext uri="{FF2B5EF4-FFF2-40B4-BE49-F238E27FC236}">
              <a16:creationId xmlns:a16="http://schemas.microsoft.com/office/drawing/2014/main" id="{2F5D4489-E5E0-40CD-B441-C24158CDC513}"/>
            </a:ext>
          </a:extLst>
        </xdr:cNvPr>
        <xdr:cNvGrpSpPr/>
      </xdr:nvGrpSpPr>
      <xdr:grpSpPr>
        <a:xfrm>
          <a:off x="7673606" y="1485163"/>
          <a:ext cx="1159486" cy="567344"/>
          <a:chOff x="7591142" y="1292488"/>
          <a:chExt cx="1159307" cy="585599"/>
        </a:xfrm>
      </xdr:grpSpPr>
      <xdr:sp macro="" textlink="">
        <xdr:nvSpPr>
          <xdr:cNvPr id="58" name="TextBox 57">
            <a:extLst>
              <a:ext uri="{FF2B5EF4-FFF2-40B4-BE49-F238E27FC236}">
                <a16:creationId xmlns:a16="http://schemas.microsoft.com/office/drawing/2014/main" id="{B1CEA3CC-F8F9-4BD3-2D49-78070B9C060D}"/>
              </a:ext>
            </a:extLst>
          </xdr:cNvPr>
          <xdr:cNvSpPr txBox="1"/>
        </xdr:nvSpPr>
        <xdr:spPr>
          <a:xfrm>
            <a:off x="7591142" y="1620450"/>
            <a:ext cx="1105886" cy="257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0" i="0" baseline="0">
                <a:solidFill>
                  <a:srgbClr val="AFDC7E"/>
                </a:solidFill>
                <a:effectLst/>
                <a:latin typeface="+mn-lt"/>
                <a:ea typeface="+mn-ea"/>
                <a:cs typeface="Aharoni" panose="02010803020104030203" pitchFamily="2" charset="-79"/>
              </a:rPr>
              <a:t>Avg Ratings</a:t>
            </a:r>
            <a:endParaRPr lang="en-US" sz="1050">
              <a:solidFill>
                <a:srgbClr val="AFDC7E"/>
              </a:solidFill>
              <a:latin typeface="+mn-lt"/>
              <a:cs typeface="Aharoni" panose="02010803020104030203" pitchFamily="2" charset="-79"/>
            </a:endParaRPr>
          </a:p>
        </xdr:txBody>
      </xdr:sp>
      <xdr:sp macro="" textlink="">
        <xdr:nvSpPr>
          <xdr:cNvPr id="59" name="Rectangle: Rounded Corners 58">
            <a:extLst>
              <a:ext uri="{FF2B5EF4-FFF2-40B4-BE49-F238E27FC236}">
                <a16:creationId xmlns:a16="http://schemas.microsoft.com/office/drawing/2014/main" id="{32B0E669-D530-409B-04D2-C91C1E24C781}"/>
              </a:ext>
            </a:extLst>
          </xdr:cNvPr>
          <xdr:cNvSpPr/>
        </xdr:nvSpPr>
        <xdr:spPr>
          <a:xfrm>
            <a:off x="8474134" y="1292488"/>
            <a:ext cx="276315" cy="218972"/>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0" name="Group 59">
            <a:extLst>
              <a:ext uri="{FF2B5EF4-FFF2-40B4-BE49-F238E27FC236}">
                <a16:creationId xmlns:a16="http://schemas.microsoft.com/office/drawing/2014/main" id="{1B5AE64A-FA2E-B1A4-A400-C815501651DE}"/>
              </a:ext>
            </a:extLst>
          </xdr:cNvPr>
          <xdr:cNvGrpSpPr/>
        </xdr:nvGrpSpPr>
        <xdr:grpSpPr>
          <a:xfrm flipH="1">
            <a:off x="8517809" y="1349009"/>
            <a:ext cx="201168" cy="82296"/>
            <a:chOff x="662609" y="662609"/>
            <a:chExt cx="622300" cy="220869"/>
          </a:xfrm>
        </xdr:grpSpPr>
        <xdr:sp macro="" textlink="">
          <xdr:nvSpPr>
            <xdr:cNvPr id="61" name="Star: 5 Points 60">
              <a:extLst>
                <a:ext uri="{FF2B5EF4-FFF2-40B4-BE49-F238E27FC236}">
                  <a16:creationId xmlns:a16="http://schemas.microsoft.com/office/drawing/2014/main" id="{A8204F50-9B63-5494-4523-3E997E94AF89}"/>
                </a:ext>
              </a:extLst>
            </xdr:cNvPr>
            <xdr:cNvSpPr/>
          </xdr:nvSpPr>
          <xdr:spPr>
            <a:xfrm>
              <a:off x="662609" y="662609"/>
              <a:ext cx="234674" cy="220869"/>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Star: 5 Points 61">
              <a:extLst>
                <a:ext uri="{FF2B5EF4-FFF2-40B4-BE49-F238E27FC236}">
                  <a16:creationId xmlns:a16="http://schemas.microsoft.com/office/drawing/2014/main" id="{816ED0E1-F54B-EE62-E4FD-36AD10DCCABF}"/>
                </a:ext>
              </a:extLst>
            </xdr:cNvPr>
            <xdr:cNvSpPr/>
          </xdr:nvSpPr>
          <xdr:spPr>
            <a:xfrm>
              <a:off x="856422" y="662609"/>
              <a:ext cx="234674" cy="220869"/>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Star: 5 Points 62">
              <a:extLst>
                <a:ext uri="{FF2B5EF4-FFF2-40B4-BE49-F238E27FC236}">
                  <a16:creationId xmlns:a16="http://schemas.microsoft.com/office/drawing/2014/main" id="{F8BD24D8-2ABF-D7D6-F15B-73979626BFF7}"/>
                </a:ext>
              </a:extLst>
            </xdr:cNvPr>
            <xdr:cNvSpPr/>
          </xdr:nvSpPr>
          <xdr:spPr>
            <a:xfrm>
              <a:off x="1050235" y="662609"/>
              <a:ext cx="234674" cy="220869"/>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7</xdr:col>
      <xdr:colOff>338714</xdr:colOff>
      <xdr:row>7</xdr:row>
      <xdr:rowOff>123350</xdr:rowOff>
    </xdr:from>
    <xdr:to>
      <xdr:col>9</xdr:col>
      <xdr:colOff>283760</xdr:colOff>
      <xdr:row>10</xdr:row>
      <xdr:rowOff>119368</xdr:rowOff>
    </xdr:to>
    <xdr:grpSp>
      <xdr:nvGrpSpPr>
        <xdr:cNvPr id="64" name="Group 63">
          <a:extLst>
            <a:ext uri="{FF2B5EF4-FFF2-40B4-BE49-F238E27FC236}">
              <a16:creationId xmlns:a16="http://schemas.microsoft.com/office/drawing/2014/main" id="{CDF16FFB-4495-45AB-BF9C-751056000952}"/>
            </a:ext>
          </a:extLst>
        </xdr:cNvPr>
        <xdr:cNvGrpSpPr/>
      </xdr:nvGrpSpPr>
      <xdr:grpSpPr>
        <a:xfrm>
          <a:off x="4589245" y="1456850"/>
          <a:ext cx="1159484" cy="567518"/>
          <a:chOff x="4535520" y="1268247"/>
          <a:chExt cx="1167389" cy="581291"/>
        </a:xfrm>
      </xdr:grpSpPr>
      <xdr:grpSp>
        <xdr:nvGrpSpPr>
          <xdr:cNvPr id="65" name="Group 64">
            <a:extLst>
              <a:ext uri="{FF2B5EF4-FFF2-40B4-BE49-F238E27FC236}">
                <a16:creationId xmlns:a16="http://schemas.microsoft.com/office/drawing/2014/main" id="{25845653-324C-DF97-021A-4A0A99853652}"/>
              </a:ext>
            </a:extLst>
          </xdr:cNvPr>
          <xdr:cNvGrpSpPr/>
        </xdr:nvGrpSpPr>
        <xdr:grpSpPr>
          <a:xfrm>
            <a:off x="4535520" y="1268247"/>
            <a:ext cx="1167389" cy="581291"/>
            <a:chOff x="2899153" y="1305462"/>
            <a:chExt cx="1157529" cy="599540"/>
          </a:xfrm>
        </xdr:grpSpPr>
        <xdr:sp macro="" textlink="">
          <xdr:nvSpPr>
            <xdr:cNvPr id="68" name="TextBox 67">
              <a:extLst>
                <a:ext uri="{FF2B5EF4-FFF2-40B4-BE49-F238E27FC236}">
                  <a16:creationId xmlns:a16="http://schemas.microsoft.com/office/drawing/2014/main" id="{88EEC82D-D573-8C00-71ED-6970241F032F}"/>
                </a:ext>
              </a:extLst>
            </xdr:cNvPr>
            <xdr:cNvSpPr txBox="1"/>
          </xdr:nvSpPr>
          <xdr:spPr>
            <a:xfrm>
              <a:off x="2899153" y="1642718"/>
              <a:ext cx="1104108" cy="26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tx1">
                      <a:lumMod val="50000"/>
                      <a:lumOff val="50000"/>
                    </a:schemeClr>
                  </a:solidFill>
                  <a:effectLst/>
                  <a:latin typeface="+mn-lt"/>
                  <a:ea typeface="+mn-ea"/>
                  <a:cs typeface="Aharoni" panose="02010803020104030203" pitchFamily="2" charset="-79"/>
                </a:rPr>
                <a:t>Avg Calories</a:t>
              </a:r>
              <a:endParaRPr lang="en-US" sz="1050" b="1">
                <a:solidFill>
                  <a:schemeClr val="tx1">
                    <a:lumMod val="50000"/>
                    <a:lumOff val="50000"/>
                  </a:schemeClr>
                </a:solidFill>
                <a:latin typeface="+mn-lt"/>
                <a:cs typeface="Aharoni" panose="02010803020104030203" pitchFamily="2" charset="-79"/>
              </a:endParaRPr>
            </a:p>
          </xdr:txBody>
        </xdr:sp>
        <xdr:sp macro="" textlink="">
          <xdr:nvSpPr>
            <xdr:cNvPr id="69" name="Rectangle: Rounded Corners 68">
              <a:extLst>
                <a:ext uri="{FF2B5EF4-FFF2-40B4-BE49-F238E27FC236}">
                  <a16:creationId xmlns:a16="http://schemas.microsoft.com/office/drawing/2014/main" id="{F29ABCCE-030B-3E86-6DE2-461FACE7FD91}"/>
                </a:ext>
              </a:extLst>
            </xdr:cNvPr>
            <xdr:cNvSpPr/>
          </xdr:nvSpPr>
          <xdr:spPr>
            <a:xfrm>
              <a:off x="3781256" y="1305462"/>
              <a:ext cx="275426" cy="228266"/>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66" name="Picture 65">
            <a:extLst>
              <a:ext uri="{FF2B5EF4-FFF2-40B4-BE49-F238E27FC236}">
                <a16:creationId xmlns:a16="http://schemas.microsoft.com/office/drawing/2014/main" id="{E56036A0-6D27-AAB0-1E3F-9BDC5FA502D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486475" y="1287675"/>
            <a:ext cx="178878" cy="176150"/>
          </a:xfrm>
          <a:prstGeom prst="rect">
            <a:avLst/>
          </a:prstGeom>
        </xdr:spPr>
      </xdr:pic>
    </xdr:grpSp>
    <xdr:clientData/>
  </xdr:twoCellAnchor>
  <xdr:twoCellAnchor>
    <xdr:from>
      <xdr:col>10</xdr:col>
      <xdr:colOff>51674</xdr:colOff>
      <xdr:row>7</xdr:row>
      <xdr:rowOff>165210</xdr:rowOff>
    </xdr:from>
    <xdr:to>
      <xdr:col>11</xdr:col>
      <xdr:colOff>604113</xdr:colOff>
      <xdr:row>10</xdr:row>
      <xdr:rowOff>153279</xdr:rowOff>
    </xdr:to>
    <xdr:grpSp>
      <xdr:nvGrpSpPr>
        <xdr:cNvPr id="70" name="Group 69">
          <a:extLst>
            <a:ext uri="{FF2B5EF4-FFF2-40B4-BE49-F238E27FC236}">
              <a16:creationId xmlns:a16="http://schemas.microsoft.com/office/drawing/2014/main" id="{75B4399D-B444-4BE7-8998-5311FDF7CE91}"/>
            </a:ext>
          </a:extLst>
        </xdr:cNvPr>
        <xdr:cNvGrpSpPr/>
      </xdr:nvGrpSpPr>
      <xdr:grpSpPr>
        <a:xfrm>
          <a:off x="6123862" y="1498710"/>
          <a:ext cx="1159657" cy="559569"/>
          <a:chOff x="6041838" y="1319304"/>
          <a:chExt cx="1159307" cy="581192"/>
        </a:xfrm>
      </xdr:grpSpPr>
      <xdr:grpSp>
        <xdr:nvGrpSpPr>
          <xdr:cNvPr id="71" name="Group 70">
            <a:extLst>
              <a:ext uri="{FF2B5EF4-FFF2-40B4-BE49-F238E27FC236}">
                <a16:creationId xmlns:a16="http://schemas.microsoft.com/office/drawing/2014/main" id="{09DA3C64-2A6B-CAC9-9CDE-1900C457BC48}"/>
              </a:ext>
            </a:extLst>
          </xdr:cNvPr>
          <xdr:cNvGrpSpPr/>
        </xdr:nvGrpSpPr>
        <xdr:grpSpPr>
          <a:xfrm>
            <a:off x="6041838" y="1319304"/>
            <a:ext cx="1159307" cy="581192"/>
            <a:chOff x="2899153" y="1305462"/>
            <a:chExt cx="1157529" cy="599540"/>
          </a:xfrm>
        </xdr:grpSpPr>
        <xdr:sp macro="" textlink="">
          <xdr:nvSpPr>
            <xdr:cNvPr id="74" name="TextBox 73">
              <a:extLst>
                <a:ext uri="{FF2B5EF4-FFF2-40B4-BE49-F238E27FC236}">
                  <a16:creationId xmlns:a16="http://schemas.microsoft.com/office/drawing/2014/main" id="{4CE78E8A-CE59-534A-B65F-C260A4711AC8}"/>
                </a:ext>
              </a:extLst>
            </xdr:cNvPr>
            <xdr:cNvSpPr txBox="1"/>
          </xdr:nvSpPr>
          <xdr:spPr>
            <a:xfrm>
              <a:off x="2899153" y="1642718"/>
              <a:ext cx="1104108" cy="26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tx1">
                      <a:lumMod val="50000"/>
                      <a:lumOff val="50000"/>
                    </a:schemeClr>
                  </a:solidFill>
                  <a:effectLst/>
                  <a:latin typeface="+mn-lt"/>
                  <a:ea typeface="+mn-ea"/>
                  <a:cs typeface="Aharoni" panose="02010803020104030203" pitchFamily="2" charset="-79"/>
                </a:rPr>
                <a:t>Avg Popularity</a:t>
              </a:r>
              <a:endParaRPr lang="en-US" sz="1050" b="1">
                <a:solidFill>
                  <a:schemeClr val="tx1">
                    <a:lumMod val="50000"/>
                    <a:lumOff val="50000"/>
                  </a:schemeClr>
                </a:solidFill>
                <a:latin typeface="+mn-lt"/>
                <a:cs typeface="Aharoni" panose="02010803020104030203" pitchFamily="2" charset="-79"/>
              </a:endParaRPr>
            </a:p>
          </xdr:txBody>
        </xdr:sp>
        <xdr:sp macro="" textlink="">
          <xdr:nvSpPr>
            <xdr:cNvPr id="75" name="Rectangle: Rounded Corners 74">
              <a:extLst>
                <a:ext uri="{FF2B5EF4-FFF2-40B4-BE49-F238E27FC236}">
                  <a16:creationId xmlns:a16="http://schemas.microsoft.com/office/drawing/2014/main" id="{A2925F2F-5A4B-3F8D-6DFE-B021C8B67162}"/>
                </a:ext>
              </a:extLst>
            </xdr:cNvPr>
            <xdr:cNvSpPr/>
          </xdr:nvSpPr>
          <xdr:spPr>
            <a:xfrm>
              <a:off x="3781256" y="1305462"/>
              <a:ext cx="275426" cy="228266"/>
            </a:xfrm>
            <a:prstGeom prst="roundRect">
              <a:avLst>
                <a:gd name="adj" fmla="val 21042"/>
              </a:avLst>
            </a:prstGeom>
            <a:solidFill>
              <a:srgbClr val="AFDC7E">
                <a:alpha val="6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72" name="Picture 71">
            <a:extLst>
              <a:ext uri="{FF2B5EF4-FFF2-40B4-BE49-F238E27FC236}">
                <a16:creationId xmlns:a16="http://schemas.microsoft.com/office/drawing/2014/main" id="{A91DC412-E8F1-F879-273C-B6D54557B80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968508" y="1339984"/>
            <a:ext cx="182880" cy="178233"/>
          </a:xfrm>
          <a:prstGeom prst="rect">
            <a:avLst/>
          </a:prstGeom>
        </xdr:spPr>
      </xdr:pic>
    </xdr:grpSp>
    <xdr:clientData/>
  </xdr:twoCellAnchor>
  <xdr:twoCellAnchor>
    <xdr:from>
      <xdr:col>4</xdr:col>
      <xdr:colOff>348516</xdr:colOff>
      <xdr:row>12</xdr:row>
      <xdr:rowOff>87710</xdr:rowOff>
    </xdr:from>
    <xdr:to>
      <xdr:col>11</xdr:col>
      <xdr:colOff>10623</xdr:colOff>
      <xdr:row>14</xdr:row>
      <xdr:rowOff>16939</xdr:rowOff>
    </xdr:to>
    <xdr:sp macro="" textlink="">
      <xdr:nvSpPr>
        <xdr:cNvPr id="76" name="TextBox 75">
          <a:extLst>
            <a:ext uri="{FF2B5EF4-FFF2-40B4-BE49-F238E27FC236}">
              <a16:creationId xmlns:a16="http://schemas.microsoft.com/office/drawing/2014/main" id="{BBFB1FA2-CFF9-C916-E73B-BB8EB67EC5DA}"/>
            </a:ext>
          </a:extLst>
        </xdr:cNvPr>
        <xdr:cNvSpPr txBox="1"/>
      </xdr:nvSpPr>
      <xdr:spPr>
        <a:xfrm>
          <a:off x="2778081" y="2406840"/>
          <a:ext cx="3913846" cy="31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0" i="0" baseline="0">
              <a:solidFill>
                <a:schemeClr val="tx1">
                  <a:lumMod val="65000"/>
                  <a:lumOff val="35000"/>
                </a:schemeClr>
              </a:solidFill>
              <a:effectLst/>
              <a:latin typeface="Aharoni" panose="02010803020104030203" pitchFamily="2" charset="-79"/>
              <a:ea typeface="+mn-ea"/>
              <a:cs typeface="Aharoni" panose="02010803020104030203" pitchFamily="2" charset="-79"/>
            </a:rPr>
            <a:t>Key Insights</a:t>
          </a:r>
          <a:endParaRPr lang="en-US" sz="2000">
            <a:solidFill>
              <a:schemeClr val="tx1">
                <a:lumMod val="65000"/>
                <a:lumOff val="35000"/>
              </a:schemeClr>
            </a:solidFill>
            <a:latin typeface="Aharoni" panose="02010803020104030203" pitchFamily="2" charset="-79"/>
            <a:cs typeface="Aharoni" panose="02010803020104030203" pitchFamily="2" charset="-79"/>
          </a:endParaRPr>
        </a:p>
      </xdr:txBody>
    </xdr:sp>
    <xdr:clientData/>
  </xdr:twoCellAnchor>
  <xdr:twoCellAnchor>
    <xdr:from>
      <xdr:col>3</xdr:col>
      <xdr:colOff>87494</xdr:colOff>
      <xdr:row>10</xdr:row>
      <xdr:rowOff>175691</xdr:rowOff>
    </xdr:from>
    <xdr:to>
      <xdr:col>3</xdr:col>
      <xdr:colOff>409118</xdr:colOff>
      <xdr:row>25</xdr:row>
      <xdr:rowOff>53984</xdr:rowOff>
    </xdr:to>
    <xdr:grpSp>
      <xdr:nvGrpSpPr>
        <xdr:cNvPr id="120" name="Group 119">
          <a:extLst>
            <a:ext uri="{FF2B5EF4-FFF2-40B4-BE49-F238E27FC236}">
              <a16:creationId xmlns:a16="http://schemas.microsoft.com/office/drawing/2014/main" id="{5DF67D96-1BE7-485F-94E0-195C93E59290}"/>
            </a:ext>
          </a:extLst>
        </xdr:cNvPr>
        <xdr:cNvGrpSpPr/>
      </xdr:nvGrpSpPr>
      <xdr:grpSpPr>
        <a:xfrm>
          <a:off x="1909150" y="2080691"/>
          <a:ext cx="321624" cy="2735793"/>
          <a:chOff x="1781299" y="1979758"/>
          <a:chExt cx="321624" cy="2777206"/>
        </a:xfrm>
      </xdr:grpSpPr>
      <xdr:pic>
        <xdr:nvPicPr>
          <xdr:cNvPr id="121" name="Picture 120">
            <a:extLst>
              <a:ext uri="{FF2B5EF4-FFF2-40B4-BE49-F238E27FC236}">
                <a16:creationId xmlns:a16="http://schemas.microsoft.com/office/drawing/2014/main" id="{E25FD60D-4CB5-C3EF-F689-CB43D91F598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59822" y="4536073"/>
            <a:ext cx="228600" cy="220891"/>
          </a:xfrm>
          <a:prstGeom prst="rect">
            <a:avLst/>
          </a:prstGeom>
        </xdr:spPr>
      </xdr:pic>
      <xdr:sp macro="" textlink="">
        <xdr:nvSpPr>
          <xdr:cNvPr id="122" name="Rectangle: Rounded Corners 121">
            <a:extLst>
              <a:ext uri="{FF2B5EF4-FFF2-40B4-BE49-F238E27FC236}">
                <a16:creationId xmlns:a16="http://schemas.microsoft.com/office/drawing/2014/main" id="{BE01EBD2-8CE4-A0BD-89E8-9B62C1CB8098}"/>
              </a:ext>
            </a:extLst>
          </xdr:cNvPr>
          <xdr:cNvSpPr/>
        </xdr:nvSpPr>
        <xdr:spPr>
          <a:xfrm>
            <a:off x="1781299" y="2853197"/>
            <a:ext cx="321624" cy="301752"/>
          </a:xfrm>
          <a:prstGeom prst="roundRect">
            <a:avLst>
              <a:gd name="adj" fmla="val 44667"/>
            </a:avLst>
          </a:prstGeom>
          <a:solidFill>
            <a:srgbClr val="AFDC7E">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macro="[0]!Home_page">
        <xdr:nvPicPr>
          <xdr:cNvPr id="123" name="Picture 122">
            <a:extLst>
              <a:ext uri="{FF2B5EF4-FFF2-40B4-BE49-F238E27FC236}">
                <a16:creationId xmlns:a16="http://schemas.microsoft.com/office/drawing/2014/main" id="{DC7E68E3-B90A-B97A-076D-0C0A719AF48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34737" y="1979758"/>
            <a:ext cx="228600" cy="219617"/>
          </a:xfrm>
          <a:prstGeom prst="rect">
            <a:avLst/>
          </a:prstGeom>
        </xdr:spPr>
      </xdr:pic>
      <xdr:pic macro="[0]!Insight_page">
        <xdr:nvPicPr>
          <xdr:cNvPr id="125" name="Picture 124">
            <a:extLst>
              <a:ext uri="{FF2B5EF4-FFF2-40B4-BE49-F238E27FC236}">
                <a16:creationId xmlns:a16="http://schemas.microsoft.com/office/drawing/2014/main" id="{4C37CC39-EC8A-4262-44C6-8F722049630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34737" y="2461911"/>
            <a:ext cx="228600" cy="219617"/>
          </a:xfrm>
          <a:prstGeom prst="rect">
            <a:avLst/>
          </a:prstGeom>
        </xdr:spPr>
      </xdr:pic>
      <xdr:pic macro="[0]!Summary_page">
        <xdr:nvPicPr>
          <xdr:cNvPr id="124" name="Picture 123">
            <a:extLst>
              <a:ext uri="{FF2B5EF4-FFF2-40B4-BE49-F238E27FC236}">
                <a16:creationId xmlns:a16="http://schemas.microsoft.com/office/drawing/2014/main" id="{8D4E9457-F064-D1FB-B93B-065DE3BC6DC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834737" y="2884617"/>
            <a:ext cx="228600" cy="219617"/>
          </a:xfrm>
          <a:prstGeom prst="rect">
            <a:avLst/>
          </a:prstGeom>
        </xdr:spPr>
      </xdr:pic>
    </xdr:grpSp>
    <xdr:clientData/>
  </xdr:twoCellAnchor>
  <xdr:twoCellAnchor>
    <xdr:from>
      <xdr:col>3</xdr:col>
      <xdr:colOff>76216</xdr:colOff>
      <xdr:row>21</xdr:row>
      <xdr:rowOff>94855</xdr:rowOff>
    </xdr:from>
    <xdr:to>
      <xdr:col>3</xdr:col>
      <xdr:colOff>420397</xdr:colOff>
      <xdr:row>23</xdr:row>
      <xdr:rowOff>59717</xdr:rowOff>
    </xdr:to>
    <xdr:sp macro="" textlink="">
      <xdr:nvSpPr>
        <xdr:cNvPr id="128" name="Oval 127">
          <a:extLst>
            <a:ext uri="{FF2B5EF4-FFF2-40B4-BE49-F238E27FC236}">
              <a16:creationId xmlns:a16="http://schemas.microsoft.com/office/drawing/2014/main" id="{1E9BA338-9D8A-470C-A993-43863380966F}"/>
            </a:ext>
          </a:extLst>
        </xdr:cNvPr>
        <xdr:cNvSpPr/>
      </xdr:nvSpPr>
      <xdr:spPr>
        <a:xfrm>
          <a:off x="1898390" y="4153333"/>
          <a:ext cx="344181" cy="351384"/>
        </a:xfrm>
        <a:prstGeom prst="ellipse">
          <a:avLst/>
        </a:prstGeom>
        <a:blipFill>
          <a:blip xmlns:r="http://schemas.openxmlformats.org/officeDocument/2006/relationships" r:embed="rId10"/>
          <a:stretch>
            <a:fillRect/>
          </a:stretch>
        </a:blipFill>
        <a:ln>
          <a:solidFill>
            <a:srgbClr val="AFDC7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279892</xdr:colOff>
      <xdr:row>12</xdr:row>
      <xdr:rowOff>55217</xdr:rowOff>
    </xdr:from>
    <xdr:to>
      <xdr:col>22</xdr:col>
      <xdr:colOff>524503</xdr:colOff>
      <xdr:row>26</xdr:row>
      <xdr:rowOff>64591</xdr:rowOff>
    </xdr:to>
    <xdr:sp macro="" textlink="">
      <xdr:nvSpPr>
        <xdr:cNvPr id="129" name="TextBox 128">
          <a:extLst>
            <a:ext uri="{FF2B5EF4-FFF2-40B4-BE49-F238E27FC236}">
              <a16:creationId xmlns:a16="http://schemas.microsoft.com/office/drawing/2014/main" id="{34AB65DE-5372-41A8-B78F-AFB097E7DB40}"/>
            </a:ext>
          </a:extLst>
        </xdr:cNvPr>
        <xdr:cNvSpPr txBox="1"/>
      </xdr:nvSpPr>
      <xdr:spPr>
        <a:xfrm rot="5400000">
          <a:off x="12407293" y="3609555"/>
          <a:ext cx="2715027" cy="24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Aharoni" panose="02010803020104030203" pitchFamily="2" charset="-79"/>
            </a:rPr>
            <a:t>LinkedIn: Naheemat Akinyemi</a:t>
          </a:r>
          <a:endParaRPr lang="en-US" sz="1100" b="0">
            <a:solidFill>
              <a:schemeClr val="tx1"/>
            </a:solidFill>
            <a:latin typeface="+mn-lt"/>
            <a:cs typeface="Aharoni" panose="02010803020104030203" pitchFamily="2" charset="-79"/>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85725</xdr:colOff>
      <xdr:row>35</xdr:row>
      <xdr:rowOff>85725</xdr:rowOff>
    </xdr:from>
    <xdr:to>
      <xdr:col>3</xdr:col>
      <xdr:colOff>451067</xdr:colOff>
      <xdr:row>37</xdr:row>
      <xdr:rowOff>57019</xdr:rowOff>
    </xdr:to>
    <xdr:sp macro="" textlink="">
      <xdr:nvSpPr>
        <xdr:cNvPr id="11" name="Star: 5 Points 10">
          <a:extLst>
            <a:ext uri="{FF2B5EF4-FFF2-40B4-BE49-F238E27FC236}">
              <a16:creationId xmlns:a16="http://schemas.microsoft.com/office/drawing/2014/main" id="{7EAA7217-6F5E-4DD6-84E8-407D115DC549}"/>
            </a:ext>
          </a:extLst>
        </xdr:cNvPr>
        <xdr:cNvSpPr/>
      </xdr:nvSpPr>
      <xdr:spPr>
        <a:xfrm>
          <a:off x="3771900" y="5800725"/>
          <a:ext cx="365342" cy="352294"/>
        </a:xfrm>
        <a:prstGeom prst="star5">
          <a:avLst/>
        </a:prstGeom>
        <a:noFill/>
        <a:ln>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238125</xdr:colOff>
      <xdr:row>36</xdr:row>
      <xdr:rowOff>47625</xdr:rowOff>
    </xdr:from>
    <xdr:to>
      <xdr:col>3</xdr:col>
      <xdr:colOff>603467</xdr:colOff>
      <xdr:row>38</xdr:row>
      <xdr:rowOff>18919</xdr:rowOff>
    </xdr:to>
    <xdr:sp macro="" textlink="">
      <xdr:nvSpPr>
        <xdr:cNvPr id="12" name="Star: 5 Points 11">
          <a:extLst>
            <a:ext uri="{FF2B5EF4-FFF2-40B4-BE49-F238E27FC236}">
              <a16:creationId xmlns:a16="http://schemas.microsoft.com/office/drawing/2014/main" id="{0D8FD75E-BD8D-45B4-B139-803578569155}"/>
            </a:ext>
          </a:extLst>
        </xdr:cNvPr>
        <xdr:cNvSpPr/>
      </xdr:nvSpPr>
      <xdr:spPr>
        <a:xfrm>
          <a:off x="3924300" y="5953125"/>
          <a:ext cx="365342" cy="352294"/>
        </a:xfrm>
        <a:prstGeom prst="star5">
          <a:avLst/>
        </a:prstGeom>
        <a:solidFill>
          <a:srgbClr val="AFDC7E"/>
        </a:solidFill>
        <a:ln>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9</xdr:row>
      <xdr:rowOff>114300</xdr:rowOff>
    </xdr:from>
    <xdr:to>
      <xdr:col>2</xdr:col>
      <xdr:colOff>9525</xdr:colOff>
      <xdr:row>10</xdr:row>
      <xdr:rowOff>168411</xdr:rowOff>
    </xdr:to>
    <xdr:sp macro="" textlink="">
      <xdr:nvSpPr>
        <xdr:cNvPr id="2" name="TextBox 1">
          <a:extLst>
            <a:ext uri="{FF2B5EF4-FFF2-40B4-BE49-F238E27FC236}">
              <a16:creationId xmlns:a16="http://schemas.microsoft.com/office/drawing/2014/main" id="{FC6B3B6F-90AC-47F4-9FE1-BBE0E413C0D9}"/>
            </a:ext>
          </a:extLst>
        </xdr:cNvPr>
        <xdr:cNvSpPr txBox="1"/>
      </xdr:nvSpPr>
      <xdr:spPr>
        <a:xfrm>
          <a:off x="1" y="1638300"/>
          <a:ext cx="2466974"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by Food Category</a:t>
          </a:r>
          <a:endParaRPr lang="en-US" sz="1050" b="1">
            <a:solidFill>
              <a:schemeClr val="bg1"/>
            </a:solidFill>
            <a:latin typeface="+mn-lt"/>
            <a:cs typeface="Aharoni" panose="02010803020104030203" pitchFamily="2" charset="-79"/>
          </a:endParaRPr>
        </a:p>
      </xdr:txBody>
    </xdr:sp>
    <xdr:clientData/>
  </xdr:twoCellAnchor>
  <xdr:twoCellAnchor>
    <xdr:from>
      <xdr:col>0</xdr:col>
      <xdr:colOff>0</xdr:colOff>
      <xdr:row>17</xdr:row>
      <xdr:rowOff>85725</xdr:rowOff>
    </xdr:from>
    <xdr:to>
      <xdr:col>2</xdr:col>
      <xdr:colOff>9524</xdr:colOff>
      <xdr:row>18</xdr:row>
      <xdr:rowOff>139836</xdr:rowOff>
    </xdr:to>
    <xdr:sp macro="" textlink="">
      <xdr:nvSpPr>
        <xdr:cNvPr id="3" name="TextBox 2">
          <a:extLst>
            <a:ext uri="{FF2B5EF4-FFF2-40B4-BE49-F238E27FC236}">
              <a16:creationId xmlns:a16="http://schemas.microsoft.com/office/drawing/2014/main" id="{BACEE660-DC4F-00A4-36BD-5CAB648E6E97}"/>
            </a:ext>
          </a:extLst>
        </xdr:cNvPr>
        <xdr:cNvSpPr txBox="1"/>
      </xdr:nvSpPr>
      <xdr:spPr>
        <a:xfrm>
          <a:off x="0" y="3133725"/>
          <a:ext cx="2466974"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Most Popular food item</a:t>
          </a:r>
          <a:endParaRPr lang="en-US" sz="1050" b="1">
            <a:solidFill>
              <a:schemeClr val="bg1"/>
            </a:solidFill>
            <a:latin typeface="+mn-lt"/>
            <a:cs typeface="Aharoni" panose="02010803020104030203" pitchFamily="2" charset="-79"/>
          </a:endParaRPr>
        </a:p>
      </xdr:txBody>
    </xdr:sp>
    <xdr:clientData/>
  </xdr:twoCellAnchor>
  <xdr:twoCellAnchor>
    <xdr:from>
      <xdr:col>5</xdr:col>
      <xdr:colOff>1485898</xdr:colOff>
      <xdr:row>0</xdr:row>
      <xdr:rowOff>0</xdr:rowOff>
    </xdr:from>
    <xdr:to>
      <xdr:col>7</xdr:col>
      <xdr:colOff>1047748</xdr:colOff>
      <xdr:row>0</xdr:row>
      <xdr:rowOff>0</xdr:rowOff>
    </xdr:to>
    <xdr:sp macro="" textlink="">
      <xdr:nvSpPr>
        <xdr:cNvPr id="5" name="TextBox 4">
          <a:extLst>
            <a:ext uri="{FF2B5EF4-FFF2-40B4-BE49-F238E27FC236}">
              <a16:creationId xmlns:a16="http://schemas.microsoft.com/office/drawing/2014/main" id="{337277BA-D79B-DBED-DE27-744BC05CD392}"/>
            </a:ext>
          </a:extLst>
        </xdr:cNvPr>
        <xdr:cNvSpPr txBox="1"/>
      </xdr:nvSpPr>
      <xdr:spPr>
        <a:xfrm>
          <a:off x="7391398" y="0"/>
          <a:ext cx="2219325" cy="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strategy by year</a:t>
          </a:r>
          <a:endParaRPr lang="en-US" sz="1050" b="1">
            <a:solidFill>
              <a:schemeClr val="bg1"/>
            </a:solidFill>
            <a:latin typeface="+mn-lt"/>
            <a:cs typeface="Aharoni" panose="02010803020104030203" pitchFamily="2" charset="-79"/>
          </a:endParaRPr>
        </a:p>
      </xdr:txBody>
    </xdr:sp>
    <xdr:clientData/>
  </xdr:twoCellAnchor>
  <xdr:twoCellAnchor>
    <xdr:from>
      <xdr:col>3</xdr:col>
      <xdr:colOff>876299</xdr:colOff>
      <xdr:row>8</xdr:row>
      <xdr:rowOff>180974</xdr:rowOff>
    </xdr:from>
    <xdr:to>
      <xdr:col>5</xdr:col>
      <xdr:colOff>876299</xdr:colOff>
      <xdr:row>9</xdr:row>
      <xdr:rowOff>190499</xdr:rowOff>
    </xdr:to>
    <xdr:sp macro="" textlink="">
      <xdr:nvSpPr>
        <xdr:cNvPr id="6" name="TextBox 5">
          <a:extLst>
            <a:ext uri="{FF2B5EF4-FFF2-40B4-BE49-F238E27FC236}">
              <a16:creationId xmlns:a16="http://schemas.microsoft.com/office/drawing/2014/main" id="{53D1F0E8-8B77-C452-1421-12290505EAB5}"/>
            </a:ext>
          </a:extLst>
        </xdr:cNvPr>
        <xdr:cNvSpPr txBox="1"/>
      </xdr:nvSpPr>
      <xdr:spPr>
        <a:xfrm>
          <a:off x="4562474" y="1704974"/>
          <a:ext cx="2219325" cy="200025"/>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Origin dstribution of food-items</a:t>
          </a:r>
          <a:endParaRPr lang="en-US" sz="1050" b="1">
            <a:solidFill>
              <a:schemeClr val="bg1"/>
            </a:solidFill>
            <a:latin typeface="+mn-lt"/>
            <a:cs typeface="Aharoni" panose="02010803020104030203" pitchFamily="2" charset="-79"/>
          </a:endParaRPr>
        </a:p>
      </xdr:txBody>
    </xdr:sp>
    <xdr:clientData/>
  </xdr:twoCellAnchor>
  <xdr:twoCellAnchor>
    <xdr:from>
      <xdr:col>7</xdr:col>
      <xdr:colOff>1114424</xdr:colOff>
      <xdr:row>9</xdr:row>
      <xdr:rowOff>180974</xdr:rowOff>
    </xdr:from>
    <xdr:to>
      <xdr:col>9</xdr:col>
      <xdr:colOff>876299</xdr:colOff>
      <xdr:row>10</xdr:row>
      <xdr:rowOff>190499</xdr:rowOff>
    </xdr:to>
    <xdr:sp macro="" textlink="">
      <xdr:nvSpPr>
        <xdr:cNvPr id="7" name="TextBox 6">
          <a:extLst>
            <a:ext uri="{FF2B5EF4-FFF2-40B4-BE49-F238E27FC236}">
              <a16:creationId xmlns:a16="http://schemas.microsoft.com/office/drawing/2014/main" id="{F13D7FD1-D228-396E-A3AB-B9E7CBD9A41B}"/>
            </a:ext>
          </a:extLst>
        </xdr:cNvPr>
        <xdr:cNvSpPr txBox="1"/>
      </xdr:nvSpPr>
      <xdr:spPr>
        <a:xfrm>
          <a:off x="9677399" y="1895474"/>
          <a:ext cx="2219325" cy="200025"/>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Calories by food-items</a:t>
          </a:r>
          <a:endParaRPr lang="en-US" sz="1050" b="1">
            <a:solidFill>
              <a:schemeClr val="bg1"/>
            </a:solidFill>
            <a:latin typeface="+mn-lt"/>
            <a:cs typeface="Aharoni" panose="02010803020104030203" pitchFamily="2" charset="-79"/>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104775</xdr:rowOff>
    </xdr:from>
    <xdr:to>
      <xdr:col>10</xdr:col>
      <xdr:colOff>9525</xdr:colOff>
      <xdr:row>1</xdr:row>
      <xdr:rowOff>158886</xdr:rowOff>
    </xdr:to>
    <xdr:sp macro="" textlink="">
      <xdr:nvSpPr>
        <xdr:cNvPr id="2" name="TextBox 1">
          <a:extLst>
            <a:ext uri="{FF2B5EF4-FFF2-40B4-BE49-F238E27FC236}">
              <a16:creationId xmlns:a16="http://schemas.microsoft.com/office/drawing/2014/main" id="{78883582-2817-46CA-83AA-098DFE016958}"/>
            </a:ext>
          </a:extLst>
        </xdr:cNvPr>
        <xdr:cNvSpPr txBox="1"/>
      </xdr:nvSpPr>
      <xdr:spPr>
        <a:xfrm>
          <a:off x="8162925" y="104775"/>
          <a:ext cx="2238375"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Top Food-items by Category</a:t>
          </a:r>
          <a:endParaRPr lang="en-US" sz="1050" b="1">
            <a:solidFill>
              <a:schemeClr val="bg1"/>
            </a:solidFill>
            <a:latin typeface="+mn-lt"/>
            <a:cs typeface="Aharoni" panose="02010803020104030203" pitchFamily="2" charset="-79"/>
          </a:endParaRPr>
        </a:p>
      </xdr:txBody>
    </xdr:sp>
    <xdr:clientData/>
  </xdr:twoCellAnchor>
  <xdr:twoCellAnchor>
    <xdr:from>
      <xdr:col>4</xdr:col>
      <xdr:colOff>9525</xdr:colOff>
      <xdr:row>2</xdr:row>
      <xdr:rowOff>95250</xdr:rowOff>
    </xdr:from>
    <xdr:to>
      <xdr:col>5</xdr:col>
      <xdr:colOff>904875</xdr:colOff>
      <xdr:row>3</xdr:row>
      <xdr:rowOff>149361</xdr:rowOff>
    </xdr:to>
    <xdr:sp macro="" textlink="">
      <xdr:nvSpPr>
        <xdr:cNvPr id="3" name="TextBox 2">
          <a:extLst>
            <a:ext uri="{FF2B5EF4-FFF2-40B4-BE49-F238E27FC236}">
              <a16:creationId xmlns:a16="http://schemas.microsoft.com/office/drawing/2014/main" id="{4E19C148-C274-613E-5F72-D6F49C5A4F3C}"/>
            </a:ext>
          </a:extLst>
        </xdr:cNvPr>
        <xdr:cNvSpPr txBox="1"/>
      </xdr:nvSpPr>
      <xdr:spPr>
        <a:xfrm>
          <a:off x="3219450" y="476250"/>
          <a:ext cx="2238375"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vs popularity</a:t>
          </a:r>
          <a:endParaRPr lang="en-US" sz="1050" b="1">
            <a:solidFill>
              <a:schemeClr val="bg1"/>
            </a:solidFill>
            <a:latin typeface="+mn-lt"/>
            <a:cs typeface="Aharoni" panose="02010803020104030203" pitchFamily="2" charset="-79"/>
          </a:endParaRPr>
        </a:p>
      </xdr:txBody>
    </xdr:sp>
    <xdr:clientData/>
  </xdr:twoCellAnchor>
  <xdr:twoCellAnchor>
    <xdr:from>
      <xdr:col>0</xdr:col>
      <xdr:colOff>47625</xdr:colOff>
      <xdr:row>2</xdr:row>
      <xdr:rowOff>104775</xdr:rowOff>
    </xdr:from>
    <xdr:to>
      <xdr:col>1</xdr:col>
      <xdr:colOff>1323975</xdr:colOff>
      <xdr:row>3</xdr:row>
      <xdr:rowOff>158886</xdr:rowOff>
    </xdr:to>
    <xdr:sp macro="" textlink="">
      <xdr:nvSpPr>
        <xdr:cNvPr id="4" name="TextBox 3">
          <a:extLst>
            <a:ext uri="{FF2B5EF4-FFF2-40B4-BE49-F238E27FC236}">
              <a16:creationId xmlns:a16="http://schemas.microsoft.com/office/drawing/2014/main" id="{1C359AAE-3222-3AE7-C0BD-D6EEA8BFF5ED}"/>
            </a:ext>
          </a:extLst>
        </xdr:cNvPr>
        <xdr:cNvSpPr txBox="1"/>
      </xdr:nvSpPr>
      <xdr:spPr>
        <a:xfrm>
          <a:off x="47625" y="485775"/>
          <a:ext cx="2152650"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price by food-items</a:t>
          </a:r>
          <a:endParaRPr lang="en-US" sz="1050" b="1">
            <a:solidFill>
              <a:schemeClr val="bg1"/>
            </a:solidFill>
            <a:latin typeface="+mn-lt"/>
            <a:cs typeface="Aharoni" panose="02010803020104030203" pitchFamily="2" charset="-79"/>
          </a:endParaRPr>
        </a:p>
      </xdr:txBody>
    </xdr:sp>
    <xdr:clientData/>
  </xdr:twoCellAnchor>
  <xdr:twoCellAnchor>
    <xdr:from>
      <xdr:col>0</xdr:col>
      <xdr:colOff>19050</xdr:colOff>
      <xdr:row>14</xdr:row>
      <xdr:rowOff>114300</xdr:rowOff>
    </xdr:from>
    <xdr:to>
      <xdr:col>1</xdr:col>
      <xdr:colOff>1295400</xdr:colOff>
      <xdr:row>15</xdr:row>
      <xdr:rowOff>168411</xdr:rowOff>
    </xdr:to>
    <xdr:sp macro="" textlink="">
      <xdr:nvSpPr>
        <xdr:cNvPr id="6" name="TextBox 5">
          <a:extLst>
            <a:ext uri="{FF2B5EF4-FFF2-40B4-BE49-F238E27FC236}">
              <a16:creationId xmlns:a16="http://schemas.microsoft.com/office/drawing/2014/main" id="{36B2A537-7F2E-41C4-A2B3-8CE8822F39B2}"/>
            </a:ext>
          </a:extLst>
        </xdr:cNvPr>
        <xdr:cNvSpPr txBox="1"/>
      </xdr:nvSpPr>
      <xdr:spPr>
        <a:xfrm>
          <a:off x="19050" y="2886075"/>
          <a:ext cx="2152650"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Popularity by country</a:t>
          </a:r>
          <a:endParaRPr lang="en-US" sz="1050" b="1">
            <a:solidFill>
              <a:schemeClr val="bg1"/>
            </a:solidFill>
            <a:latin typeface="+mn-lt"/>
            <a:cs typeface="Aharoni" panose="02010803020104030203" pitchFamily="2" charset="-79"/>
          </a:endParaRPr>
        </a:p>
      </xdr:txBody>
    </xdr:sp>
    <xdr:clientData/>
  </xdr:twoCellAnchor>
  <xdr:twoCellAnchor>
    <xdr:from>
      <xdr:col>4</xdr:col>
      <xdr:colOff>0</xdr:colOff>
      <xdr:row>26</xdr:row>
      <xdr:rowOff>0</xdr:rowOff>
    </xdr:from>
    <xdr:to>
      <xdr:col>5</xdr:col>
      <xdr:colOff>809625</xdr:colOff>
      <xdr:row>27</xdr:row>
      <xdr:rowOff>6486</xdr:rowOff>
    </xdr:to>
    <xdr:sp macro="" textlink="">
      <xdr:nvSpPr>
        <xdr:cNvPr id="7" name="TextBox 6">
          <a:extLst>
            <a:ext uri="{FF2B5EF4-FFF2-40B4-BE49-F238E27FC236}">
              <a16:creationId xmlns:a16="http://schemas.microsoft.com/office/drawing/2014/main" id="{018B24AB-19D5-7E34-7AE4-2448763DAD13}"/>
            </a:ext>
          </a:extLst>
        </xdr:cNvPr>
        <xdr:cNvSpPr txBox="1"/>
      </xdr:nvSpPr>
      <xdr:spPr>
        <a:xfrm>
          <a:off x="3209925" y="5057775"/>
          <a:ext cx="2152650" cy="196986"/>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b="1" i="0" baseline="0">
              <a:solidFill>
                <a:schemeClr val="bg1"/>
              </a:solidFill>
              <a:effectLst/>
              <a:latin typeface="+mn-lt"/>
              <a:ea typeface="+mn-ea"/>
              <a:cs typeface="Aharoni" panose="02010803020104030203" pitchFamily="2" charset="-79"/>
            </a:rPr>
            <a:t>Popularity Insight Note</a:t>
          </a:r>
          <a:endParaRPr lang="en-US" sz="1000" b="1">
            <a:solidFill>
              <a:schemeClr val="bg1"/>
            </a:solidFill>
            <a:latin typeface="+mn-lt"/>
            <a:cs typeface="Aharoni" panose="02010803020104030203" pitchFamily="2" charset="-79"/>
          </a:endParaRPr>
        </a:p>
      </xdr:txBody>
    </xdr:sp>
    <xdr:clientData/>
  </xdr:twoCellAnchor>
  <xdr:twoCellAnchor>
    <xdr:from>
      <xdr:col>0</xdr:col>
      <xdr:colOff>0</xdr:colOff>
      <xdr:row>28</xdr:row>
      <xdr:rowOff>95250</xdr:rowOff>
    </xdr:from>
    <xdr:to>
      <xdr:col>1</xdr:col>
      <xdr:colOff>1343025</xdr:colOff>
      <xdr:row>29</xdr:row>
      <xdr:rowOff>171450</xdr:rowOff>
    </xdr:to>
    <xdr:sp macro="" textlink="">
      <xdr:nvSpPr>
        <xdr:cNvPr id="8" name="TextBox 7">
          <a:extLst>
            <a:ext uri="{FF2B5EF4-FFF2-40B4-BE49-F238E27FC236}">
              <a16:creationId xmlns:a16="http://schemas.microsoft.com/office/drawing/2014/main" id="{38C6FBA2-1E34-437C-A449-E7615F8A9979}"/>
            </a:ext>
          </a:extLst>
        </xdr:cNvPr>
        <xdr:cNvSpPr txBox="1"/>
      </xdr:nvSpPr>
      <xdr:spPr>
        <a:xfrm>
          <a:off x="0" y="5562600"/>
          <a:ext cx="2219325" cy="26670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strategy by year</a:t>
          </a:r>
          <a:endParaRPr lang="en-US" sz="1050" b="1">
            <a:solidFill>
              <a:schemeClr val="bg1"/>
            </a:solidFill>
            <a:latin typeface="+mn-lt"/>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3.409563425928" backgroundQuery="1" createdVersion="8" refreshedVersion="8" minRefreshableVersion="3" recordCount="450" xr:uid="{08CF3695-E125-48F1-948A-C5B2A2A97CEB}">
  <cacheSource type="external" connectionId="1"/>
  <cacheFields count="10">
    <cacheField name="ID" numFmtId="0">
      <sharedItems/>
    </cacheField>
    <cacheField name="Item" numFmtId="0">
      <sharedItems count="9">
        <s v="Chicken Noodle Soup"/>
        <s v="Milkshake"/>
        <s v="Potato Chips"/>
        <s v="Orange Juice"/>
        <s v="Tomato Soup"/>
        <s v="Chocolate Bar"/>
        <s v="Cola Drink"/>
        <s v="Popcorn"/>
        <s v="Mushroom Soup"/>
      </sharedItems>
    </cacheField>
    <cacheField name="Type" numFmtId="0">
      <sharedItems count="4">
        <s v="Soup"/>
        <s v="Drink"/>
        <s v="Snack"/>
        <s v="Dessert" u="1"/>
      </sharedItems>
    </cacheField>
    <cacheField name="Origin" numFmtId="0">
      <sharedItems count="10">
        <s v="Canada"/>
        <s v="China"/>
        <s v="USA"/>
        <s v="Japan"/>
        <s v="India"/>
        <s v="Italy"/>
        <s v="France"/>
        <s v="UK"/>
        <s v="Switzerland"/>
        <s v="Germany"/>
      </sharedItems>
    </cacheField>
    <cacheField name="Year" numFmtId="0">
      <sharedItems containsSemiMixedTypes="0" containsString="0" containsNumber="1" containsInteger="1" minValue="2023" maxValue="2025" count="3">
        <n v="2025"/>
        <n v="2023"/>
        <n v="2024"/>
      </sharedItems>
    </cacheField>
    <cacheField name="Price (USD)" numFmtId="0">
      <sharedItems containsSemiMixedTypes="0" containsString="0" containsNumber="1" containsInteger="1" minValue="1" maxValue="12" count="12">
        <n v="6"/>
        <n v="4"/>
        <n v="5"/>
        <n v="2"/>
        <n v="9"/>
        <n v="8"/>
        <n v="12"/>
        <n v="11"/>
        <n v="3"/>
        <n v="7"/>
        <n v="10"/>
        <n v="1"/>
      </sharedItems>
    </cacheField>
    <cacheField name="Calories" numFmtId="0">
      <sharedItems containsSemiMixedTypes="0" containsString="0" containsNumber="1" containsInteger="1" minValue="7" maxValue="600"/>
    </cacheField>
    <cacheField name="Rating" numFmtId="0">
      <sharedItems containsSemiMixedTypes="0" containsString="0" containsNumber="1" minValue="2.5" maxValue="5" count="26">
        <n v="2.8"/>
        <n v="2.7"/>
        <n v="4.3"/>
        <n v="2.5"/>
        <n v="3.9"/>
        <n v="4.7"/>
        <n v="3.4"/>
        <n v="4.2"/>
        <n v="3.3"/>
        <n v="3"/>
        <n v="4.4000000000000004"/>
        <n v="2.9"/>
        <n v="5"/>
        <n v="3.6"/>
        <n v="3.2"/>
        <n v="4.8"/>
        <n v="4.9000000000000004"/>
        <n v="4"/>
        <n v="3.7"/>
        <n v="4.5"/>
        <n v="3.5"/>
        <n v="3.1"/>
        <n v="4.5999999999999996"/>
        <n v="3.8"/>
        <n v="4.0999999999999996"/>
        <n v="2.6"/>
      </sharedItems>
    </cacheField>
    <cacheField name="Popularity_Score" numFmtId="0">
      <sharedItems containsSemiMixedTypes="0" containsString="0" containsNumber="1" containsInteger="1" minValue="1" maxValue="10" count="10">
        <n v="2"/>
        <n v="4"/>
        <n v="7"/>
        <n v="3"/>
        <n v="9"/>
        <n v="5"/>
        <n v="8"/>
        <n v="1"/>
        <n v="10"/>
        <n v="6"/>
      </sharedItems>
    </cacheField>
    <cacheField name="Calories level" numFmtId="0">
      <sharedItems count="3">
        <s v="Medium"/>
        <s v="Low"/>
        <s v="High"/>
      </sharedItems>
    </cacheField>
  </cacheFields>
  <extLst>
    <ext xmlns:x14="http://schemas.microsoft.com/office/spreadsheetml/2009/9/main" uri="{725AE2AE-9491-48be-B2B4-4EB974FC3084}">
      <x14:pivotCacheDefinition pivotCacheId="272078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s v="F001"/>
    <x v="0"/>
    <x v="0"/>
    <x v="0"/>
    <x v="0"/>
    <x v="0"/>
    <n v="194"/>
    <x v="0"/>
    <x v="0"/>
    <x v="0"/>
  </r>
  <r>
    <s v="F002"/>
    <x v="1"/>
    <x v="1"/>
    <x v="1"/>
    <x v="0"/>
    <x v="1"/>
    <n v="15"/>
    <x v="1"/>
    <x v="1"/>
    <x v="1"/>
  </r>
  <r>
    <s v="F003"/>
    <x v="1"/>
    <x v="1"/>
    <x v="2"/>
    <x v="1"/>
    <x v="2"/>
    <n v="332"/>
    <x v="2"/>
    <x v="2"/>
    <x v="2"/>
  </r>
  <r>
    <s v="F004"/>
    <x v="2"/>
    <x v="2"/>
    <x v="3"/>
    <x v="0"/>
    <x v="3"/>
    <n v="595"/>
    <x v="3"/>
    <x v="3"/>
    <x v="2"/>
  </r>
  <r>
    <s v="F005"/>
    <x v="3"/>
    <x v="1"/>
    <x v="4"/>
    <x v="2"/>
    <x v="3"/>
    <n v="172"/>
    <x v="0"/>
    <x v="2"/>
    <x v="0"/>
  </r>
  <r>
    <s v="F006"/>
    <x v="0"/>
    <x v="0"/>
    <x v="4"/>
    <x v="2"/>
    <x v="4"/>
    <n v="102"/>
    <x v="2"/>
    <x v="4"/>
    <x v="0"/>
  </r>
  <r>
    <s v="F007"/>
    <x v="0"/>
    <x v="0"/>
    <x v="5"/>
    <x v="1"/>
    <x v="5"/>
    <n v="265"/>
    <x v="4"/>
    <x v="0"/>
    <x v="0"/>
  </r>
  <r>
    <s v="F008"/>
    <x v="4"/>
    <x v="0"/>
    <x v="6"/>
    <x v="2"/>
    <x v="6"/>
    <n v="199"/>
    <x v="5"/>
    <x v="2"/>
    <x v="0"/>
  </r>
  <r>
    <s v="F009"/>
    <x v="5"/>
    <x v="2"/>
    <x v="3"/>
    <x v="0"/>
    <x v="2"/>
    <n v="233"/>
    <x v="6"/>
    <x v="1"/>
    <x v="0"/>
  </r>
  <r>
    <s v="F010"/>
    <x v="5"/>
    <x v="2"/>
    <x v="1"/>
    <x v="0"/>
    <x v="1"/>
    <n v="423"/>
    <x v="2"/>
    <x v="3"/>
    <x v="2"/>
  </r>
  <r>
    <s v="F011"/>
    <x v="6"/>
    <x v="1"/>
    <x v="5"/>
    <x v="2"/>
    <x v="5"/>
    <n v="327"/>
    <x v="7"/>
    <x v="1"/>
    <x v="2"/>
  </r>
  <r>
    <s v="F012"/>
    <x v="7"/>
    <x v="2"/>
    <x v="0"/>
    <x v="1"/>
    <x v="2"/>
    <n v="562"/>
    <x v="8"/>
    <x v="5"/>
    <x v="2"/>
  </r>
  <r>
    <s v="F013"/>
    <x v="0"/>
    <x v="0"/>
    <x v="6"/>
    <x v="0"/>
    <x v="7"/>
    <n v="241"/>
    <x v="9"/>
    <x v="6"/>
    <x v="0"/>
  </r>
  <r>
    <s v="F014"/>
    <x v="3"/>
    <x v="1"/>
    <x v="3"/>
    <x v="1"/>
    <x v="8"/>
    <n v="126"/>
    <x v="10"/>
    <x v="4"/>
    <x v="0"/>
  </r>
  <r>
    <s v="F015"/>
    <x v="5"/>
    <x v="2"/>
    <x v="2"/>
    <x v="2"/>
    <x v="2"/>
    <n v="354"/>
    <x v="6"/>
    <x v="3"/>
    <x v="2"/>
  </r>
  <r>
    <s v="F016"/>
    <x v="1"/>
    <x v="1"/>
    <x v="3"/>
    <x v="1"/>
    <x v="0"/>
    <n v="56"/>
    <x v="11"/>
    <x v="3"/>
    <x v="1"/>
  </r>
  <r>
    <s v="F017"/>
    <x v="3"/>
    <x v="1"/>
    <x v="2"/>
    <x v="1"/>
    <x v="1"/>
    <n v="305"/>
    <x v="12"/>
    <x v="4"/>
    <x v="2"/>
  </r>
  <r>
    <s v="F018"/>
    <x v="5"/>
    <x v="2"/>
    <x v="7"/>
    <x v="1"/>
    <x v="1"/>
    <n v="208"/>
    <x v="7"/>
    <x v="4"/>
    <x v="0"/>
  </r>
  <r>
    <s v="F019"/>
    <x v="5"/>
    <x v="2"/>
    <x v="4"/>
    <x v="1"/>
    <x v="3"/>
    <n v="230"/>
    <x v="13"/>
    <x v="5"/>
    <x v="0"/>
  </r>
  <r>
    <s v="F020"/>
    <x v="1"/>
    <x v="1"/>
    <x v="8"/>
    <x v="0"/>
    <x v="9"/>
    <n v="320"/>
    <x v="14"/>
    <x v="4"/>
    <x v="2"/>
  </r>
  <r>
    <s v="F022"/>
    <x v="4"/>
    <x v="0"/>
    <x v="2"/>
    <x v="2"/>
    <x v="5"/>
    <n v="137"/>
    <x v="15"/>
    <x v="5"/>
    <x v="0"/>
  </r>
  <r>
    <s v="F023"/>
    <x v="2"/>
    <x v="2"/>
    <x v="0"/>
    <x v="1"/>
    <x v="2"/>
    <n v="190"/>
    <x v="1"/>
    <x v="6"/>
    <x v="0"/>
  </r>
  <r>
    <s v="F024"/>
    <x v="0"/>
    <x v="0"/>
    <x v="7"/>
    <x v="1"/>
    <x v="2"/>
    <n v="323"/>
    <x v="16"/>
    <x v="3"/>
    <x v="2"/>
  </r>
  <r>
    <s v="F025"/>
    <x v="5"/>
    <x v="2"/>
    <x v="7"/>
    <x v="0"/>
    <x v="8"/>
    <n v="258"/>
    <x v="15"/>
    <x v="1"/>
    <x v="0"/>
  </r>
  <r>
    <s v="F026"/>
    <x v="5"/>
    <x v="2"/>
    <x v="5"/>
    <x v="0"/>
    <x v="1"/>
    <n v="374"/>
    <x v="5"/>
    <x v="6"/>
    <x v="2"/>
  </r>
  <r>
    <s v="F027"/>
    <x v="0"/>
    <x v="0"/>
    <x v="6"/>
    <x v="1"/>
    <x v="2"/>
    <n v="90"/>
    <x v="17"/>
    <x v="1"/>
    <x v="1"/>
  </r>
  <r>
    <s v="F029"/>
    <x v="7"/>
    <x v="2"/>
    <x v="1"/>
    <x v="0"/>
    <x v="3"/>
    <n v="492"/>
    <x v="18"/>
    <x v="4"/>
    <x v="2"/>
  </r>
  <r>
    <s v="F030"/>
    <x v="8"/>
    <x v="0"/>
    <x v="2"/>
    <x v="0"/>
    <x v="5"/>
    <n v="322"/>
    <x v="19"/>
    <x v="1"/>
    <x v="2"/>
  </r>
  <r>
    <s v="F031"/>
    <x v="0"/>
    <x v="0"/>
    <x v="1"/>
    <x v="0"/>
    <x v="9"/>
    <n v="296"/>
    <x v="20"/>
    <x v="7"/>
    <x v="0"/>
  </r>
  <r>
    <s v="F032"/>
    <x v="0"/>
    <x v="0"/>
    <x v="0"/>
    <x v="2"/>
    <x v="10"/>
    <n v="135"/>
    <x v="21"/>
    <x v="1"/>
    <x v="0"/>
  </r>
  <r>
    <s v="F033"/>
    <x v="1"/>
    <x v="1"/>
    <x v="3"/>
    <x v="1"/>
    <x v="1"/>
    <n v="142"/>
    <x v="18"/>
    <x v="0"/>
    <x v="0"/>
  </r>
  <r>
    <s v="F034"/>
    <x v="6"/>
    <x v="1"/>
    <x v="7"/>
    <x v="1"/>
    <x v="11"/>
    <n v="276"/>
    <x v="22"/>
    <x v="0"/>
    <x v="0"/>
  </r>
  <r>
    <s v="F035"/>
    <x v="2"/>
    <x v="2"/>
    <x v="8"/>
    <x v="2"/>
    <x v="8"/>
    <n v="259"/>
    <x v="5"/>
    <x v="7"/>
    <x v="0"/>
  </r>
  <r>
    <s v="F036"/>
    <x v="8"/>
    <x v="0"/>
    <x v="5"/>
    <x v="1"/>
    <x v="6"/>
    <n v="215"/>
    <x v="15"/>
    <x v="6"/>
    <x v="0"/>
  </r>
  <r>
    <s v="F037"/>
    <x v="5"/>
    <x v="2"/>
    <x v="5"/>
    <x v="0"/>
    <x v="0"/>
    <n v="551"/>
    <x v="4"/>
    <x v="6"/>
    <x v="2"/>
  </r>
  <r>
    <s v="F038"/>
    <x v="8"/>
    <x v="0"/>
    <x v="6"/>
    <x v="2"/>
    <x v="0"/>
    <n v="109"/>
    <x v="4"/>
    <x v="4"/>
    <x v="0"/>
  </r>
  <r>
    <s v="F039"/>
    <x v="4"/>
    <x v="0"/>
    <x v="4"/>
    <x v="1"/>
    <x v="1"/>
    <n v="324"/>
    <x v="23"/>
    <x v="4"/>
    <x v="2"/>
  </r>
  <r>
    <s v="F040"/>
    <x v="8"/>
    <x v="0"/>
    <x v="0"/>
    <x v="0"/>
    <x v="2"/>
    <n v="175"/>
    <x v="1"/>
    <x v="0"/>
    <x v="0"/>
  </r>
  <r>
    <s v="F041"/>
    <x v="2"/>
    <x v="2"/>
    <x v="5"/>
    <x v="1"/>
    <x v="0"/>
    <n v="441"/>
    <x v="21"/>
    <x v="8"/>
    <x v="2"/>
  </r>
  <r>
    <s v="F042"/>
    <x v="4"/>
    <x v="0"/>
    <x v="2"/>
    <x v="1"/>
    <x v="9"/>
    <n v="347"/>
    <x v="8"/>
    <x v="5"/>
    <x v="2"/>
  </r>
  <r>
    <s v="F043"/>
    <x v="2"/>
    <x v="2"/>
    <x v="4"/>
    <x v="1"/>
    <x v="3"/>
    <n v="217"/>
    <x v="7"/>
    <x v="5"/>
    <x v="0"/>
  </r>
  <r>
    <s v="F044"/>
    <x v="6"/>
    <x v="1"/>
    <x v="4"/>
    <x v="1"/>
    <x v="11"/>
    <n v="318"/>
    <x v="12"/>
    <x v="0"/>
    <x v="2"/>
  </r>
  <r>
    <s v="F045"/>
    <x v="0"/>
    <x v="0"/>
    <x v="7"/>
    <x v="1"/>
    <x v="5"/>
    <n v="147"/>
    <x v="15"/>
    <x v="0"/>
    <x v="0"/>
  </r>
  <r>
    <s v="F046"/>
    <x v="2"/>
    <x v="2"/>
    <x v="4"/>
    <x v="2"/>
    <x v="3"/>
    <n v="576"/>
    <x v="4"/>
    <x v="5"/>
    <x v="2"/>
  </r>
  <r>
    <s v="F048"/>
    <x v="8"/>
    <x v="0"/>
    <x v="9"/>
    <x v="1"/>
    <x v="7"/>
    <n v="159"/>
    <x v="14"/>
    <x v="8"/>
    <x v="0"/>
  </r>
  <r>
    <s v="F049"/>
    <x v="2"/>
    <x v="2"/>
    <x v="4"/>
    <x v="1"/>
    <x v="1"/>
    <n v="586"/>
    <x v="14"/>
    <x v="6"/>
    <x v="2"/>
  </r>
  <r>
    <s v="F050"/>
    <x v="5"/>
    <x v="2"/>
    <x v="0"/>
    <x v="1"/>
    <x v="1"/>
    <n v="574"/>
    <x v="14"/>
    <x v="7"/>
    <x v="2"/>
  </r>
  <r>
    <s v="F051"/>
    <x v="7"/>
    <x v="2"/>
    <x v="8"/>
    <x v="0"/>
    <x v="0"/>
    <n v="232"/>
    <x v="10"/>
    <x v="4"/>
    <x v="0"/>
  </r>
  <r>
    <s v="F052"/>
    <x v="3"/>
    <x v="1"/>
    <x v="7"/>
    <x v="1"/>
    <x v="3"/>
    <n v="76"/>
    <x v="4"/>
    <x v="9"/>
    <x v="1"/>
  </r>
  <r>
    <s v="F054"/>
    <x v="7"/>
    <x v="2"/>
    <x v="6"/>
    <x v="0"/>
    <x v="3"/>
    <n v="202"/>
    <x v="6"/>
    <x v="4"/>
    <x v="0"/>
  </r>
  <r>
    <s v="F055"/>
    <x v="3"/>
    <x v="1"/>
    <x v="2"/>
    <x v="0"/>
    <x v="3"/>
    <n v="121"/>
    <x v="5"/>
    <x v="3"/>
    <x v="0"/>
  </r>
  <r>
    <s v="F056"/>
    <x v="3"/>
    <x v="1"/>
    <x v="0"/>
    <x v="1"/>
    <x v="0"/>
    <n v="170"/>
    <x v="19"/>
    <x v="2"/>
    <x v="0"/>
  </r>
  <r>
    <s v="F057"/>
    <x v="2"/>
    <x v="2"/>
    <x v="9"/>
    <x v="1"/>
    <x v="2"/>
    <n v="205"/>
    <x v="20"/>
    <x v="7"/>
    <x v="0"/>
  </r>
  <r>
    <s v="F058"/>
    <x v="6"/>
    <x v="1"/>
    <x v="6"/>
    <x v="1"/>
    <x v="9"/>
    <n v="235"/>
    <x v="6"/>
    <x v="1"/>
    <x v="0"/>
  </r>
  <r>
    <s v="F059"/>
    <x v="2"/>
    <x v="2"/>
    <x v="0"/>
    <x v="0"/>
    <x v="3"/>
    <n v="318"/>
    <x v="14"/>
    <x v="0"/>
    <x v="2"/>
  </r>
  <r>
    <s v="F060"/>
    <x v="5"/>
    <x v="2"/>
    <x v="4"/>
    <x v="0"/>
    <x v="1"/>
    <n v="497"/>
    <x v="12"/>
    <x v="4"/>
    <x v="2"/>
  </r>
  <r>
    <s v="F061"/>
    <x v="7"/>
    <x v="2"/>
    <x v="0"/>
    <x v="1"/>
    <x v="2"/>
    <n v="283"/>
    <x v="11"/>
    <x v="5"/>
    <x v="0"/>
  </r>
  <r>
    <s v="F062"/>
    <x v="4"/>
    <x v="0"/>
    <x v="1"/>
    <x v="0"/>
    <x v="9"/>
    <n v="240"/>
    <x v="13"/>
    <x v="4"/>
    <x v="0"/>
  </r>
  <r>
    <s v="F063"/>
    <x v="0"/>
    <x v="0"/>
    <x v="5"/>
    <x v="0"/>
    <x v="0"/>
    <n v="102"/>
    <x v="2"/>
    <x v="7"/>
    <x v="0"/>
  </r>
  <r>
    <s v="F064"/>
    <x v="1"/>
    <x v="1"/>
    <x v="7"/>
    <x v="0"/>
    <x v="0"/>
    <n v="343"/>
    <x v="9"/>
    <x v="2"/>
    <x v="2"/>
  </r>
  <r>
    <s v="F065"/>
    <x v="0"/>
    <x v="0"/>
    <x v="4"/>
    <x v="0"/>
    <x v="9"/>
    <n v="143"/>
    <x v="2"/>
    <x v="5"/>
    <x v="0"/>
  </r>
  <r>
    <s v="F066"/>
    <x v="1"/>
    <x v="1"/>
    <x v="9"/>
    <x v="0"/>
    <x v="1"/>
    <n v="206"/>
    <x v="7"/>
    <x v="4"/>
    <x v="0"/>
  </r>
  <r>
    <s v="F067"/>
    <x v="8"/>
    <x v="0"/>
    <x v="6"/>
    <x v="2"/>
    <x v="4"/>
    <n v="274"/>
    <x v="7"/>
    <x v="3"/>
    <x v="0"/>
  </r>
  <r>
    <s v="F069"/>
    <x v="3"/>
    <x v="1"/>
    <x v="2"/>
    <x v="0"/>
    <x v="0"/>
    <n v="238"/>
    <x v="13"/>
    <x v="1"/>
    <x v="0"/>
  </r>
  <r>
    <s v="F070"/>
    <x v="1"/>
    <x v="1"/>
    <x v="3"/>
    <x v="0"/>
    <x v="3"/>
    <n v="43"/>
    <x v="14"/>
    <x v="8"/>
    <x v="1"/>
  </r>
  <r>
    <s v="F071"/>
    <x v="7"/>
    <x v="2"/>
    <x v="1"/>
    <x v="1"/>
    <x v="1"/>
    <n v="265"/>
    <x v="19"/>
    <x v="3"/>
    <x v="0"/>
  </r>
  <r>
    <s v="F072"/>
    <x v="4"/>
    <x v="0"/>
    <x v="0"/>
    <x v="1"/>
    <x v="6"/>
    <n v="117"/>
    <x v="13"/>
    <x v="8"/>
    <x v="0"/>
  </r>
  <r>
    <s v="F073"/>
    <x v="2"/>
    <x v="2"/>
    <x v="5"/>
    <x v="2"/>
    <x v="8"/>
    <n v="225"/>
    <x v="24"/>
    <x v="7"/>
    <x v="0"/>
  </r>
  <r>
    <s v="F074"/>
    <x v="0"/>
    <x v="0"/>
    <x v="5"/>
    <x v="1"/>
    <x v="2"/>
    <n v="345"/>
    <x v="18"/>
    <x v="4"/>
    <x v="2"/>
  </r>
  <r>
    <s v="F075"/>
    <x v="2"/>
    <x v="2"/>
    <x v="1"/>
    <x v="2"/>
    <x v="3"/>
    <n v="387"/>
    <x v="7"/>
    <x v="4"/>
    <x v="2"/>
  </r>
  <r>
    <s v="F077"/>
    <x v="6"/>
    <x v="1"/>
    <x v="8"/>
    <x v="0"/>
    <x v="9"/>
    <n v="230"/>
    <x v="21"/>
    <x v="1"/>
    <x v="0"/>
  </r>
  <r>
    <s v="F078"/>
    <x v="5"/>
    <x v="2"/>
    <x v="7"/>
    <x v="2"/>
    <x v="1"/>
    <n v="290"/>
    <x v="13"/>
    <x v="5"/>
    <x v="0"/>
  </r>
  <r>
    <s v="F079"/>
    <x v="2"/>
    <x v="2"/>
    <x v="9"/>
    <x v="2"/>
    <x v="8"/>
    <n v="426"/>
    <x v="1"/>
    <x v="3"/>
    <x v="2"/>
  </r>
  <r>
    <s v="F080"/>
    <x v="2"/>
    <x v="2"/>
    <x v="5"/>
    <x v="0"/>
    <x v="3"/>
    <n v="259"/>
    <x v="1"/>
    <x v="2"/>
    <x v="0"/>
  </r>
  <r>
    <s v="F081"/>
    <x v="7"/>
    <x v="2"/>
    <x v="7"/>
    <x v="2"/>
    <x v="8"/>
    <n v="255"/>
    <x v="22"/>
    <x v="2"/>
    <x v="0"/>
  </r>
  <r>
    <s v="F083"/>
    <x v="3"/>
    <x v="1"/>
    <x v="5"/>
    <x v="0"/>
    <x v="0"/>
    <n v="279"/>
    <x v="19"/>
    <x v="1"/>
    <x v="0"/>
  </r>
  <r>
    <s v="F084"/>
    <x v="6"/>
    <x v="1"/>
    <x v="6"/>
    <x v="2"/>
    <x v="1"/>
    <n v="14"/>
    <x v="20"/>
    <x v="2"/>
    <x v="1"/>
  </r>
  <r>
    <s v="F085"/>
    <x v="8"/>
    <x v="0"/>
    <x v="3"/>
    <x v="1"/>
    <x v="6"/>
    <n v="93"/>
    <x v="15"/>
    <x v="8"/>
    <x v="1"/>
  </r>
  <r>
    <s v="F087"/>
    <x v="4"/>
    <x v="0"/>
    <x v="9"/>
    <x v="2"/>
    <x v="9"/>
    <n v="312"/>
    <x v="8"/>
    <x v="2"/>
    <x v="2"/>
  </r>
  <r>
    <s v="F088"/>
    <x v="5"/>
    <x v="2"/>
    <x v="5"/>
    <x v="2"/>
    <x v="2"/>
    <n v="390"/>
    <x v="3"/>
    <x v="4"/>
    <x v="2"/>
  </r>
  <r>
    <s v="F089"/>
    <x v="4"/>
    <x v="0"/>
    <x v="4"/>
    <x v="1"/>
    <x v="4"/>
    <n v="100"/>
    <x v="10"/>
    <x v="1"/>
    <x v="1"/>
  </r>
  <r>
    <s v="F090"/>
    <x v="2"/>
    <x v="2"/>
    <x v="0"/>
    <x v="0"/>
    <x v="3"/>
    <n v="214"/>
    <x v="18"/>
    <x v="0"/>
    <x v="0"/>
  </r>
  <r>
    <s v="F092"/>
    <x v="0"/>
    <x v="0"/>
    <x v="8"/>
    <x v="2"/>
    <x v="2"/>
    <n v="93"/>
    <x v="15"/>
    <x v="8"/>
    <x v="1"/>
  </r>
  <r>
    <s v="F093"/>
    <x v="3"/>
    <x v="1"/>
    <x v="5"/>
    <x v="0"/>
    <x v="3"/>
    <n v="303"/>
    <x v="7"/>
    <x v="1"/>
    <x v="2"/>
  </r>
  <r>
    <s v="F094"/>
    <x v="0"/>
    <x v="0"/>
    <x v="9"/>
    <x v="0"/>
    <x v="4"/>
    <n v="141"/>
    <x v="19"/>
    <x v="8"/>
    <x v="0"/>
  </r>
  <r>
    <s v="F095"/>
    <x v="4"/>
    <x v="0"/>
    <x v="4"/>
    <x v="0"/>
    <x v="9"/>
    <n v="269"/>
    <x v="1"/>
    <x v="9"/>
    <x v="0"/>
  </r>
  <r>
    <s v="F096"/>
    <x v="4"/>
    <x v="0"/>
    <x v="5"/>
    <x v="2"/>
    <x v="2"/>
    <n v="265"/>
    <x v="24"/>
    <x v="6"/>
    <x v="0"/>
  </r>
  <r>
    <s v="F097"/>
    <x v="8"/>
    <x v="0"/>
    <x v="5"/>
    <x v="1"/>
    <x v="10"/>
    <n v="218"/>
    <x v="17"/>
    <x v="4"/>
    <x v="0"/>
  </r>
  <r>
    <s v="F098"/>
    <x v="6"/>
    <x v="1"/>
    <x v="3"/>
    <x v="2"/>
    <x v="9"/>
    <n v="303"/>
    <x v="14"/>
    <x v="1"/>
    <x v="2"/>
  </r>
  <r>
    <s v="F099"/>
    <x v="0"/>
    <x v="0"/>
    <x v="9"/>
    <x v="2"/>
    <x v="0"/>
    <n v="317"/>
    <x v="4"/>
    <x v="2"/>
    <x v="2"/>
  </r>
  <r>
    <s v="F100"/>
    <x v="7"/>
    <x v="2"/>
    <x v="0"/>
    <x v="2"/>
    <x v="2"/>
    <n v="243"/>
    <x v="18"/>
    <x v="9"/>
    <x v="0"/>
  </r>
  <r>
    <s v="F101"/>
    <x v="5"/>
    <x v="2"/>
    <x v="4"/>
    <x v="2"/>
    <x v="2"/>
    <n v="509"/>
    <x v="5"/>
    <x v="4"/>
    <x v="2"/>
  </r>
  <r>
    <s v="F102"/>
    <x v="4"/>
    <x v="0"/>
    <x v="7"/>
    <x v="1"/>
    <x v="2"/>
    <n v="288"/>
    <x v="18"/>
    <x v="1"/>
    <x v="0"/>
  </r>
  <r>
    <s v="F103"/>
    <x v="6"/>
    <x v="1"/>
    <x v="3"/>
    <x v="2"/>
    <x v="9"/>
    <n v="47"/>
    <x v="14"/>
    <x v="2"/>
    <x v="1"/>
  </r>
  <r>
    <s v="F104"/>
    <x v="2"/>
    <x v="2"/>
    <x v="9"/>
    <x v="0"/>
    <x v="1"/>
    <n v="392"/>
    <x v="4"/>
    <x v="9"/>
    <x v="2"/>
  </r>
  <r>
    <s v="F105"/>
    <x v="3"/>
    <x v="1"/>
    <x v="7"/>
    <x v="2"/>
    <x v="8"/>
    <n v="232"/>
    <x v="14"/>
    <x v="5"/>
    <x v="0"/>
  </r>
  <r>
    <s v="F106"/>
    <x v="2"/>
    <x v="2"/>
    <x v="1"/>
    <x v="0"/>
    <x v="3"/>
    <n v="211"/>
    <x v="10"/>
    <x v="3"/>
    <x v="0"/>
  </r>
  <r>
    <s v="F107"/>
    <x v="2"/>
    <x v="2"/>
    <x v="6"/>
    <x v="0"/>
    <x v="8"/>
    <n v="520"/>
    <x v="17"/>
    <x v="4"/>
    <x v="2"/>
  </r>
  <r>
    <s v="F109"/>
    <x v="5"/>
    <x v="2"/>
    <x v="0"/>
    <x v="0"/>
    <x v="1"/>
    <n v="290"/>
    <x v="25"/>
    <x v="7"/>
    <x v="0"/>
  </r>
  <r>
    <s v="F110"/>
    <x v="1"/>
    <x v="1"/>
    <x v="9"/>
    <x v="0"/>
    <x v="5"/>
    <n v="326"/>
    <x v="5"/>
    <x v="6"/>
    <x v="2"/>
  </r>
  <r>
    <s v="F111"/>
    <x v="0"/>
    <x v="0"/>
    <x v="0"/>
    <x v="0"/>
    <x v="0"/>
    <n v="325"/>
    <x v="13"/>
    <x v="3"/>
    <x v="2"/>
  </r>
  <r>
    <s v="F112"/>
    <x v="4"/>
    <x v="0"/>
    <x v="9"/>
    <x v="2"/>
    <x v="2"/>
    <n v="113"/>
    <x v="20"/>
    <x v="0"/>
    <x v="0"/>
  </r>
  <r>
    <s v="F114"/>
    <x v="2"/>
    <x v="2"/>
    <x v="1"/>
    <x v="0"/>
    <x v="2"/>
    <n v="460"/>
    <x v="17"/>
    <x v="8"/>
    <x v="2"/>
  </r>
  <r>
    <s v="F115"/>
    <x v="2"/>
    <x v="2"/>
    <x v="7"/>
    <x v="2"/>
    <x v="8"/>
    <n v="376"/>
    <x v="14"/>
    <x v="8"/>
    <x v="2"/>
  </r>
  <r>
    <s v="F116"/>
    <x v="3"/>
    <x v="1"/>
    <x v="9"/>
    <x v="0"/>
    <x v="2"/>
    <n v="312"/>
    <x v="16"/>
    <x v="0"/>
    <x v="2"/>
  </r>
  <r>
    <s v="F117"/>
    <x v="2"/>
    <x v="2"/>
    <x v="6"/>
    <x v="2"/>
    <x v="1"/>
    <n v="230"/>
    <x v="21"/>
    <x v="4"/>
    <x v="0"/>
  </r>
  <r>
    <s v="F118"/>
    <x v="0"/>
    <x v="0"/>
    <x v="8"/>
    <x v="1"/>
    <x v="9"/>
    <n v="320"/>
    <x v="14"/>
    <x v="1"/>
    <x v="2"/>
  </r>
  <r>
    <s v="F119"/>
    <x v="5"/>
    <x v="2"/>
    <x v="9"/>
    <x v="0"/>
    <x v="2"/>
    <n v="186"/>
    <x v="7"/>
    <x v="5"/>
    <x v="0"/>
  </r>
  <r>
    <s v="F121"/>
    <x v="8"/>
    <x v="0"/>
    <x v="1"/>
    <x v="1"/>
    <x v="2"/>
    <n v="237"/>
    <x v="17"/>
    <x v="8"/>
    <x v="0"/>
  </r>
  <r>
    <s v="F122"/>
    <x v="5"/>
    <x v="2"/>
    <x v="3"/>
    <x v="1"/>
    <x v="8"/>
    <n v="305"/>
    <x v="7"/>
    <x v="5"/>
    <x v="2"/>
  </r>
  <r>
    <s v="F123"/>
    <x v="1"/>
    <x v="1"/>
    <x v="7"/>
    <x v="2"/>
    <x v="1"/>
    <n v="306"/>
    <x v="25"/>
    <x v="2"/>
    <x v="2"/>
  </r>
  <r>
    <s v="F124"/>
    <x v="7"/>
    <x v="2"/>
    <x v="2"/>
    <x v="2"/>
    <x v="11"/>
    <n v="267"/>
    <x v="16"/>
    <x v="8"/>
    <x v="0"/>
  </r>
  <r>
    <s v="F126"/>
    <x v="6"/>
    <x v="1"/>
    <x v="7"/>
    <x v="0"/>
    <x v="1"/>
    <n v="142"/>
    <x v="9"/>
    <x v="8"/>
    <x v="0"/>
  </r>
  <r>
    <s v="F127"/>
    <x v="3"/>
    <x v="1"/>
    <x v="3"/>
    <x v="1"/>
    <x v="1"/>
    <n v="209"/>
    <x v="8"/>
    <x v="0"/>
    <x v="0"/>
  </r>
  <r>
    <s v="F128"/>
    <x v="8"/>
    <x v="0"/>
    <x v="4"/>
    <x v="2"/>
    <x v="10"/>
    <n v="227"/>
    <x v="7"/>
    <x v="2"/>
    <x v="0"/>
  </r>
  <r>
    <s v="F129"/>
    <x v="1"/>
    <x v="1"/>
    <x v="0"/>
    <x v="2"/>
    <x v="3"/>
    <n v="129"/>
    <x v="8"/>
    <x v="2"/>
    <x v="0"/>
  </r>
  <r>
    <s v="F130"/>
    <x v="1"/>
    <x v="1"/>
    <x v="0"/>
    <x v="0"/>
    <x v="9"/>
    <n v="236"/>
    <x v="20"/>
    <x v="1"/>
    <x v="0"/>
  </r>
  <r>
    <s v="F131"/>
    <x v="1"/>
    <x v="1"/>
    <x v="4"/>
    <x v="0"/>
    <x v="0"/>
    <n v="320"/>
    <x v="13"/>
    <x v="7"/>
    <x v="2"/>
  </r>
  <r>
    <s v="F132"/>
    <x v="2"/>
    <x v="2"/>
    <x v="9"/>
    <x v="0"/>
    <x v="3"/>
    <n v="297"/>
    <x v="13"/>
    <x v="6"/>
    <x v="0"/>
  </r>
  <r>
    <s v="F133"/>
    <x v="0"/>
    <x v="0"/>
    <x v="0"/>
    <x v="0"/>
    <x v="4"/>
    <n v="202"/>
    <x v="2"/>
    <x v="5"/>
    <x v="0"/>
  </r>
  <r>
    <s v="F134"/>
    <x v="1"/>
    <x v="1"/>
    <x v="0"/>
    <x v="0"/>
    <x v="1"/>
    <n v="115"/>
    <x v="12"/>
    <x v="0"/>
    <x v="0"/>
  </r>
  <r>
    <s v="F135"/>
    <x v="6"/>
    <x v="1"/>
    <x v="1"/>
    <x v="0"/>
    <x v="9"/>
    <n v="255"/>
    <x v="15"/>
    <x v="5"/>
    <x v="0"/>
  </r>
  <r>
    <s v="F136"/>
    <x v="1"/>
    <x v="1"/>
    <x v="9"/>
    <x v="2"/>
    <x v="9"/>
    <n v="241"/>
    <x v="21"/>
    <x v="4"/>
    <x v="0"/>
  </r>
  <r>
    <s v="F137"/>
    <x v="8"/>
    <x v="0"/>
    <x v="5"/>
    <x v="1"/>
    <x v="7"/>
    <n v="340"/>
    <x v="10"/>
    <x v="3"/>
    <x v="2"/>
  </r>
  <r>
    <s v="F138"/>
    <x v="0"/>
    <x v="0"/>
    <x v="9"/>
    <x v="2"/>
    <x v="9"/>
    <n v="339"/>
    <x v="14"/>
    <x v="7"/>
    <x v="2"/>
  </r>
  <r>
    <s v="F139"/>
    <x v="5"/>
    <x v="2"/>
    <x v="9"/>
    <x v="0"/>
    <x v="1"/>
    <n v="487"/>
    <x v="18"/>
    <x v="3"/>
    <x v="2"/>
  </r>
  <r>
    <s v="F140"/>
    <x v="6"/>
    <x v="1"/>
    <x v="7"/>
    <x v="2"/>
    <x v="8"/>
    <n v="282"/>
    <x v="10"/>
    <x v="2"/>
    <x v="0"/>
  </r>
  <r>
    <s v="F141"/>
    <x v="6"/>
    <x v="1"/>
    <x v="4"/>
    <x v="1"/>
    <x v="5"/>
    <n v="122"/>
    <x v="4"/>
    <x v="1"/>
    <x v="0"/>
  </r>
  <r>
    <s v="F142"/>
    <x v="3"/>
    <x v="1"/>
    <x v="0"/>
    <x v="2"/>
    <x v="0"/>
    <n v="195"/>
    <x v="20"/>
    <x v="3"/>
    <x v="0"/>
  </r>
  <r>
    <s v="F143"/>
    <x v="6"/>
    <x v="1"/>
    <x v="0"/>
    <x v="1"/>
    <x v="2"/>
    <n v="302"/>
    <x v="8"/>
    <x v="0"/>
    <x v="2"/>
  </r>
  <r>
    <s v="F144"/>
    <x v="6"/>
    <x v="1"/>
    <x v="1"/>
    <x v="0"/>
    <x v="9"/>
    <n v="7"/>
    <x v="2"/>
    <x v="2"/>
    <x v="1"/>
  </r>
  <r>
    <s v="F145"/>
    <x v="8"/>
    <x v="0"/>
    <x v="1"/>
    <x v="2"/>
    <x v="10"/>
    <n v="215"/>
    <x v="8"/>
    <x v="2"/>
    <x v="0"/>
  </r>
  <r>
    <s v="F146"/>
    <x v="0"/>
    <x v="0"/>
    <x v="4"/>
    <x v="0"/>
    <x v="7"/>
    <n v="274"/>
    <x v="16"/>
    <x v="6"/>
    <x v="0"/>
  </r>
  <r>
    <s v="F147"/>
    <x v="1"/>
    <x v="1"/>
    <x v="0"/>
    <x v="0"/>
    <x v="11"/>
    <n v="323"/>
    <x v="7"/>
    <x v="5"/>
    <x v="2"/>
  </r>
  <r>
    <s v="F148"/>
    <x v="2"/>
    <x v="2"/>
    <x v="1"/>
    <x v="2"/>
    <x v="0"/>
    <n v="539"/>
    <x v="24"/>
    <x v="0"/>
    <x v="2"/>
  </r>
  <r>
    <s v="F149"/>
    <x v="6"/>
    <x v="1"/>
    <x v="8"/>
    <x v="0"/>
    <x v="8"/>
    <n v="14"/>
    <x v="25"/>
    <x v="7"/>
    <x v="1"/>
  </r>
  <r>
    <s v="F150"/>
    <x v="5"/>
    <x v="2"/>
    <x v="4"/>
    <x v="2"/>
    <x v="8"/>
    <n v="275"/>
    <x v="23"/>
    <x v="8"/>
    <x v="0"/>
  </r>
  <r>
    <s v="F151"/>
    <x v="8"/>
    <x v="0"/>
    <x v="8"/>
    <x v="1"/>
    <x v="2"/>
    <n v="275"/>
    <x v="17"/>
    <x v="1"/>
    <x v="0"/>
  </r>
  <r>
    <s v="F152"/>
    <x v="6"/>
    <x v="1"/>
    <x v="2"/>
    <x v="1"/>
    <x v="8"/>
    <n v="326"/>
    <x v="21"/>
    <x v="5"/>
    <x v="2"/>
  </r>
  <r>
    <s v="F153"/>
    <x v="4"/>
    <x v="0"/>
    <x v="3"/>
    <x v="2"/>
    <x v="4"/>
    <n v="160"/>
    <x v="1"/>
    <x v="9"/>
    <x v="0"/>
  </r>
  <r>
    <s v="F155"/>
    <x v="2"/>
    <x v="2"/>
    <x v="5"/>
    <x v="2"/>
    <x v="3"/>
    <n v="345"/>
    <x v="4"/>
    <x v="8"/>
    <x v="2"/>
  </r>
  <r>
    <s v="F156"/>
    <x v="5"/>
    <x v="2"/>
    <x v="9"/>
    <x v="1"/>
    <x v="0"/>
    <n v="487"/>
    <x v="20"/>
    <x v="7"/>
    <x v="2"/>
  </r>
  <r>
    <s v="F159"/>
    <x v="0"/>
    <x v="0"/>
    <x v="0"/>
    <x v="2"/>
    <x v="10"/>
    <n v="97"/>
    <x v="4"/>
    <x v="3"/>
    <x v="1"/>
  </r>
  <r>
    <s v="F160"/>
    <x v="0"/>
    <x v="0"/>
    <x v="9"/>
    <x v="2"/>
    <x v="10"/>
    <n v="169"/>
    <x v="9"/>
    <x v="4"/>
    <x v="0"/>
  </r>
  <r>
    <s v="F161"/>
    <x v="7"/>
    <x v="2"/>
    <x v="7"/>
    <x v="0"/>
    <x v="0"/>
    <n v="575"/>
    <x v="11"/>
    <x v="6"/>
    <x v="2"/>
  </r>
  <r>
    <s v="F162"/>
    <x v="5"/>
    <x v="2"/>
    <x v="4"/>
    <x v="1"/>
    <x v="8"/>
    <n v="188"/>
    <x v="11"/>
    <x v="1"/>
    <x v="0"/>
  </r>
  <r>
    <s v="F163"/>
    <x v="3"/>
    <x v="1"/>
    <x v="7"/>
    <x v="2"/>
    <x v="3"/>
    <n v="202"/>
    <x v="3"/>
    <x v="4"/>
    <x v="0"/>
  </r>
  <r>
    <s v="F164"/>
    <x v="0"/>
    <x v="0"/>
    <x v="3"/>
    <x v="2"/>
    <x v="4"/>
    <n v="214"/>
    <x v="17"/>
    <x v="9"/>
    <x v="0"/>
  </r>
  <r>
    <s v="F165"/>
    <x v="0"/>
    <x v="0"/>
    <x v="6"/>
    <x v="2"/>
    <x v="1"/>
    <n v="247"/>
    <x v="15"/>
    <x v="1"/>
    <x v="0"/>
  </r>
  <r>
    <s v="F166"/>
    <x v="0"/>
    <x v="0"/>
    <x v="3"/>
    <x v="0"/>
    <x v="0"/>
    <n v="289"/>
    <x v="0"/>
    <x v="7"/>
    <x v="0"/>
  </r>
  <r>
    <s v="F167"/>
    <x v="4"/>
    <x v="0"/>
    <x v="9"/>
    <x v="2"/>
    <x v="2"/>
    <n v="200"/>
    <x v="5"/>
    <x v="3"/>
    <x v="0"/>
  </r>
  <r>
    <s v="F168"/>
    <x v="3"/>
    <x v="1"/>
    <x v="3"/>
    <x v="2"/>
    <x v="0"/>
    <n v="276"/>
    <x v="20"/>
    <x v="3"/>
    <x v="0"/>
  </r>
  <r>
    <s v="F169"/>
    <x v="3"/>
    <x v="1"/>
    <x v="1"/>
    <x v="2"/>
    <x v="2"/>
    <n v="143"/>
    <x v="25"/>
    <x v="9"/>
    <x v="0"/>
  </r>
  <r>
    <s v="F170"/>
    <x v="2"/>
    <x v="2"/>
    <x v="3"/>
    <x v="2"/>
    <x v="0"/>
    <n v="587"/>
    <x v="6"/>
    <x v="9"/>
    <x v="2"/>
  </r>
  <r>
    <s v="F171"/>
    <x v="1"/>
    <x v="1"/>
    <x v="4"/>
    <x v="1"/>
    <x v="1"/>
    <n v="97"/>
    <x v="16"/>
    <x v="6"/>
    <x v="1"/>
  </r>
  <r>
    <s v="F172"/>
    <x v="0"/>
    <x v="0"/>
    <x v="6"/>
    <x v="0"/>
    <x v="4"/>
    <n v="90"/>
    <x v="25"/>
    <x v="9"/>
    <x v="1"/>
  </r>
  <r>
    <s v="F173"/>
    <x v="2"/>
    <x v="2"/>
    <x v="8"/>
    <x v="0"/>
    <x v="3"/>
    <n v="574"/>
    <x v="10"/>
    <x v="1"/>
    <x v="2"/>
  </r>
  <r>
    <s v="F175"/>
    <x v="4"/>
    <x v="0"/>
    <x v="9"/>
    <x v="1"/>
    <x v="6"/>
    <n v="208"/>
    <x v="19"/>
    <x v="0"/>
    <x v="0"/>
  </r>
  <r>
    <s v="F176"/>
    <x v="4"/>
    <x v="0"/>
    <x v="8"/>
    <x v="1"/>
    <x v="9"/>
    <n v="201"/>
    <x v="17"/>
    <x v="7"/>
    <x v="0"/>
  </r>
  <r>
    <s v="F177"/>
    <x v="8"/>
    <x v="0"/>
    <x v="9"/>
    <x v="1"/>
    <x v="2"/>
    <n v="295"/>
    <x v="23"/>
    <x v="0"/>
    <x v="0"/>
  </r>
  <r>
    <s v="F178"/>
    <x v="6"/>
    <x v="1"/>
    <x v="3"/>
    <x v="2"/>
    <x v="2"/>
    <n v="55"/>
    <x v="13"/>
    <x v="1"/>
    <x v="1"/>
  </r>
  <r>
    <s v="F180"/>
    <x v="4"/>
    <x v="0"/>
    <x v="3"/>
    <x v="2"/>
    <x v="9"/>
    <n v="135"/>
    <x v="18"/>
    <x v="6"/>
    <x v="0"/>
  </r>
  <r>
    <s v="F181"/>
    <x v="0"/>
    <x v="0"/>
    <x v="1"/>
    <x v="2"/>
    <x v="4"/>
    <n v="113"/>
    <x v="0"/>
    <x v="8"/>
    <x v="0"/>
  </r>
  <r>
    <s v="F184"/>
    <x v="2"/>
    <x v="2"/>
    <x v="5"/>
    <x v="2"/>
    <x v="2"/>
    <n v="361"/>
    <x v="8"/>
    <x v="6"/>
    <x v="2"/>
  </r>
  <r>
    <s v="F185"/>
    <x v="3"/>
    <x v="1"/>
    <x v="5"/>
    <x v="0"/>
    <x v="3"/>
    <n v="218"/>
    <x v="8"/>
    <x v="5"/>
    <x v="0"/>
  </r>
  <r>
    <s v="F186"/>
    <x v="7"/>
    <x v="2"/>
    <x v="8"/>
    <x v="0"/>
    <x v="0"/>
    <n v="184"/>
    <x v="1"/>
    <x v="0"/>
    <x v="0"/>
  </r>
  <r>
    <s v="F187"/>
    <x v="0"/>
    <x v="0"/>
    <x v="5"/>
    <x v="1"/>
    <x v="10"/>
    <n v="270"/>
    <x v="19"/>
    <x v="4"/>
    <x v="0"/>
  </r>
  <r>
    <s v="F188"/>
    <x v="4"/>
    <x v="0"/>
    <x v="2"/>
    <x v="0"/>
    <x v="5"/>
    <n v="142"/>
    <x v="20"/>
    <x v="2"/>
    <x v="0"/>
  </r>
  <r>
    <s v="F189"/>
    <x v="4"/>
    <x v="0"/>
    <x v="9"/>
    <x v="0"/>
    <x v="0"/>
    <n v="133"/>
    <x v="4"/>
    <x v="1"/>
    <x v="0"/>
  </r>
  <r>
    <s v="F190"/>
    <x v="8"/>
    <x v="0"/>
    <x v="3"/>
    <x v="1"/>
    <x v="7"/>
    <n v="259"/>
    <x v="22"/>
    <x v="9"/>
    <x v="0"/>
  </r>
  <r>
    <s v="F191"/>
    <x v="0"/>
    <x v="0"/>
    <x v="9"/>
    <x v="0"/>
    <x v="0"/>
    <n v="299"/>
    <x v="22"/>
    <x v="8"/>
    <x v="0"/>
  </r>
  <r>
    <s v="F193"/>
    <x v="5"/>
    <x v="2"/>
    <x v="4"/>
    <x v="2"/>
    <x v="11"/>
    <n v="595"/>
    <x v="11"/>
    <x v="2"/>
    <x v="2"/>
  </r>
  <r>
    <s v="F194"/>
    <x v="0"/>
    <x v="0"/>
    <x v="8"/>
    <x v="0"/>
    <x v="4"/>
    <n v="95"/>
    <x v="1"/>
    <x v="4"/>
    <x v="1"/>
  </r>
  <r>
    <s v="F195"/>
    <x v="2"/>
    <x v="2"/>
    <x v="5"/>
    <x v="2"/>
    <x v="8"/>
    <n v="230"/>
    <x v="6"/>
    <x v="9"/>
    <x v="0"/>
  </r>
  <r>
    <s v="F197"/>
    <x v="4"/>
    <x v="0"/>
    <x v="1"/>
    <x v="2"/>
    <x v="5"/>
    <n v="297"/>
    <x v="18"/>
    <x v="6"/>
    <x v="0"/>
  </r>
  <r>
    <s v="F198"/>
    <x v="3"/>
    <x v="1"/>
    <x v="9"/>
    <x v="1"/>
    <x v="0"/>
    <n v="58"/>
    <x v="6"/>
    <x v="0"/>
    <x v="1"/>
  </r>
  <r>
    <s v="F199"/>
    <x v="5"/>
    <x v="2"/>
    <x v="2"/>
    <x v="2"/>
    <x v="1"/>
    <n v="307"/>
    <x v="25"/>
    <x v="2"/>
    <x v="2"/>
  </r>
  <r>
    <s v="F201"/>
    <x v="5"/>
    <x v="2"/>
    <x v="4"/>
    <x v="1"/>
    <x v="11"/>
    <n v="532"/>
    <x v="13"/>
    <x v="3"/>
    <x v="2"/>
  </r>
  <r>
    <s v="F202"/>
    <x v="3"/>
    <x v="1"/>
    <x v="7"/>
    <x v="0"/>
    <x v="8"/>
    <n v="286"/>
    <x v="22"/>
    <x v="9"/>
    <x v="0"/>
  </r>
  <r>
    <s v="F203"/>
    <x v="0"/>
    <x v="0"/>
    <x v="5"/>
    <x v="0"/>
    <x v="1"/>
    <n v="89"/>
    <x v="13"/>
    <x v="0"/>
    <x v="1"/>
  </r>
  <r>
    <s v="F204"/>
    <x v="7"/>
    <x v="2"/>
    <x v="2"/>
    <x v="2"/>
    <x v="1"/>
    <n v="513"/>
    <x v="24"/>
    <x v="5"/>
    <x v="2"/>
  </r>
  <r>
    <s v="F205"/>
    <x v="0"/>
    <x v="0"/>
    <x v="5"/>
    <x v="1"/>
    <x v="6"/>
    <n v="167"/>
    <x v="19"/>
    <x v="8"/>
    <x v="0"/>
  </r>
  <r>
    <s v="F206"/>
    <x v="6"/>
    <x v="1"/>
    <x v="4"/>
    <x v="1"/>
    <x v="1"/>
    <n v="54"/>
    <x v="21"/>
    <x v="8"/>
    <x v="1"/>
  </r>
  <r>
    <s v="F207"/>
    <x v="3"/>
    <x v="1"/>
    <x v="7"/>
    <x v="1"/>
    <x v="1"/>
    <n v="158"/>
    <x v="10"/>
    <x v="1"/>
    <x v="0"/>
  </r>
  <r>
    <s v="F208"/>
    <x v="7"/>
    <x v="2"/>
    <x v="8"/>
    <x v="1"/>
    <x v="1"/>
    <n v="208"/>
    <x v="23"/>
    <x v="1"/>
    <x v="0"/>
  </r>
  <r>
    <s v="F209"/>
    <x v="7"/>
    <x v="2"/>
    <x v="4"/>
    <x v="0"/>
    <x v="0"/>
    <n v="480"/>
    <x v="19"/>
    <x v="1"/>
    <x v="2"/>
  </r>
  <r>
    <s v="F210"/>
    <x v="0"/>
    <x v="0"/>
    <x v="8"/>
    <x v="2"/>
    <x v="0"/>
    <n v="158"/>
    <x v="10"/>
    <x v="0"/>
    <x v="0"/>
  </r>
  <r>
    <s v="F211"/>
    <x v="8"/>
    <x v="0"/>
    <x v="3"/>
    <x v="2"/>
    <x v="10"/>
    <n v="309"/>
    <x v="7"/>
    <x v="8"/>
    <x v="2"/>
  </r>
  <r>
    <s v="F213"/>
    <x v="5"/>
    <x v="2"/>
    <x v="9"/>
    <x v="0"/>
    <x v="11"/>
    <n v="409"/>
    <x v="1"/>
    <x v="6"/>
    <x v="2"/>
  </r>
  <r>
    <s v="F214"/>
    <x v="6"/>
    <x v="1"/>
    <x v="0"/>
    <x v="1"/>
    <x v="1"/>
    <n v="146"/>
    <x v="1"/>
    <x v="0"/>
    <x v="0"/>
  </r>
  <r>
    <s v="F216"/>
    <x v="6"/>
    <x v="1"/>
    <x v="2"/>
    <x v="0"/>
    <x v="3"/>
    <n v="309"/>
    <x v="18"/>
    <x v="3"/>
    <x v="2"/>
  </r>
  <r>
    <s v="F217"/>
    <x v="4"/>
    <x v="0"/>
    <x v="3"/>
    <x v="1"/>
    <x v="10"/>
    <n v="255"/>
    <x v="12"/>
    <x v="0"/>
    <x v="0"/>
  </r>
  <r>
    <s v="F218"/>
    <x v="1"/>
    <x v="1"/>
    <x v="8"/>
    <x v="1"/>
    <x v="8"/>
    <n v="224"/>
    <x v="12"/>
    <x v="4"/>
    <x v="0"/>
  </r>
  <r>
    <s v="F219"/>
    <x v="1"/>
    <x v="1"/>
    <x v="2"/>
    <x v="1"/>
    <x v="1"/>
    <n v="144"/>
    <x v="20"/>
    <x v="9"/>
    <x v="0"/>
  </r>
  <r>
    <s v="F221"/>
    <x v="3"/>
    <x v="1"/>
    <x v="9"/>
    <x v="2"/>
    <x v="0"/>
    <n v="336"/>
    <x v="16"/>
    <x v="8"/>
    <x v="2"/>
  </r>
  <r>
    <s v="F222"/>
    <x v="8"/>
    <x v="0"/>
    <x v="4"/>
    <x v="1"/>
    <x v="4"/>
    <n v="152"/>
    <x v="15"/>
    <x v="5"/>
    <x v="0"/>
  </r>
  <r>
    <s v="F223"/>
    <x v="3"/>
    <x v="1"/>
    <x v="8"/>
    <x v="0"/>
    <x v="0"/>
    <n v="43"/>
    <x v="8"/>
    <x v="2"/>
    <x v="1"/>
  </r>
  <r>
    <s v="F224"/>
    <x v="7"/>
    <x v="2"/>
    <x v="8"/>
    <x v="0"/>
    <x v="2"/>
    <n v="528"/>
    <x v="12"/>
    <x v="4"/>
    <x v="2"/>
  </r>
  <r>
    <s v="F225"/>
    <x v="0"/>
    <x v="0"/>
    <x v="5"/>
    <x v="0"/>
    <x v="9"/>
    <n v="265"/>
    <x v="8"/>
    <x v="1"/>
    <x v="0"/>
  </r>
  <r>
    <s v="F226"/>
    <x v="7"/>
    <x v="2"/>
    <x v="3"/>
    <x v="1"/>
    <x v="3"/>
    <n v="220"/>
    <x v="11"/>
    <x v="5"/>
    <x v="0"/>
  </r>
  <r>
    <s v="F227"/>
    <x v="0"/>
    <x v="0"/>
    <x v="7"/>
    <x v="0"/>
    <x v="7"/>
    <n v="349"/>
    <x v="25"/>
    <x v="9"/>
    <x v="2"/>
  </r>
  <r>
    <s v="F229"/>
    <x v="8"/>
    <x v="0"/>
    <x v="3"/>
    <x v="1"/>
    <x v="9"/>
    <n v="201"/>
    <x v="16"/>
    <x v="8"/>
    <x v="0"/>
  </r>
  <r>
    <s v="F230"/>
    <x v="5"/>
    <x v="2"/>
    <x v="3"/>
    <x v="1"/>
    <x v="1"/>
    <n v="308"/>
    <x v="16"/>
    <x v="6"/>
    <x v="2"/>
  </r>
  <r>
    <s v="F231"/>
    <x v="2"/>
    <x v="2"/>
    <x v="4"/>
    <x v="0"/>
    <x v="0"/>
    <n v="375"/>
    <x v="18"/>
    <x v="5"/>
    <x v="2"/>
  </r>
  <r>
    <s v="F232"/>
    <x v="3"/>
    <x v="1"/>
    <x v="7"/>
    <x v="0"/>
    <x v="1"/>
    <n v="82"/>
    <x v="19"/>
    <x v="8"/>
    <x v="1"/>
  </r>
  <r>
    <s v="F233"/>
    <x v="8"/>
    <x v="0"/>
    <x v="9"/>
    <x v="1"/>
    <x v="4"/>
    <n v="270"/>
    <x v="4"/>
    <x v="0"/>
    <x v="0"/>
  </r>
  <r>
    <s v="F234"/>
    <x v="1"/>
    <x v="1"/>
    <x v="1"/>
    <x v="2"/>
    <x v="3"/>
    <n v="82"/>
    <x v="14"/>
    <x v="4"/>
    <x v="1"/>
  </r>
  <r>
    <s v="F235"/>
    <x v="8"/>
    <x v="0"/>
    <x v="5"/>
    <x v="1"/>
    <x v="6"/>
    <n v="193"/>
    <x v="19"/>
    <x v="9"/>
    <x v="0"/>
  </r>
  <r>
    <s v="F236"/>
    <x v="4"/>
    <x v="0"/>
    <x v="5"/>
    <x v="1"/>
    <x v="9"/>
    <n v="271"/>
    <x v="21"/>
    <x v="0"/>
    <x v="0"/>
  </r>
  <r>
    <s v="F237"/>
    <x v="7"/>
    <x v="2"/>
    <x v="6"/>
    <x v="1"/>
    <x v="8"/>
    <n v="200"/>
    <x v="22"/>
    <x v="9"/>
    <x v="0"/>
  </r>
  <r>
    <s v="F238"/>
    <x v="8"/>
    <x v="0"/>
    <x v="8"/>
    <x v="1"/>
    <x v="0"/>
    <n v="321"/>
    <x v="7"/>
    <x v="3"/>
    <x v="2"/>
  </r>
  <r>
    <s v="F239"/>
    <x v="6"/>
    <x v="1"/>
    <x v="3"/>
    <x v="0"/>
    <x v="11"/>
    <n v="40"/>
    <x v="3"/>
    <x v="1"/>
    <x v="1"/>
  </r>
  <r>
    <s v="F240"/>
    <x v="8"/>
    <x v="0"/>
    <x v="7"/>
    <x v="0"/>
    <x v="4"/>
    <n v="296"/>
    <x v="0"/>
    <x v="5"/>
    <x v="0"/>
  </r>
  <r>
    <s v="F241"/>
    <x v="2"/>
    <x v="2"/>
    <x v="9"/>
    <x v="1"/>
    <x v="11"/>
    <n v="364"/>
    <x v="24"/>
    <x v="8"/>
    <x v="2"/>
  </r>
  <r>
    <s v="F242"/>
    <x v="6"/>
    <x v="1"/>
    <x v="1"/>
    <x v="1"/>
    <x v="9"/>
    <n v="255"/>
    <x v="17"/>
    <x v="7"/>
    <x v="0"/>
  </r>
  <r>
    <s v="F243"/>
    <x v="1"/>
    <x v="1"/>
    <x v="2"/>
    <x v="1"/>
    <x v="0"/>
    <n v="149"/>
    <x v="13"/>
    <x v="8"/>
    <x v="0"/>
  </r>
  <r>
    <s v="F244"/>
    <x v="7"/>
    <x v="2"/>
    <x v="6"/>
    <x v="0"/>
    <x v="8"/>
    <n v="490"/>
    <x v="7"/>
    <x v="4"/>
    <x v="2"/>
  </r>
  <r>
    <s v="F245"/>
    <x v="7"/>
    <x v="2"/>
    <x v="1"/>
    <x v="0"/>
    <x v="1"/>
    <n v="552"/>
    <x v="12"/>
    <x v="4"/>
    <x v="2"/>
  </r>
  <r>
    <s v="F246"/>
    <x v="4"/>
    <x v="0"/>
    <x v="5"/>
    <x v="2"/>
    <x v="1"/>
    <n v="278"/>
    <x v="12"/>
    <x v="5"/>
    <x v="0"/>
  </r>
  <r>
    <s v="F247"/>
    <x v="4"/>
    <x v="0"/>
    <x v="4"/>
    <x v="1"/>
    <x v="9"/>
    <n v="133"/>
    <x v="10"/>
    <x v="9"/>
    <x v="0"/>
  </r>
  <r>
    <s v="F248"/>
    <x v="8"/>
    <x v="0"/>
    <x v="0"/>
    <x v="2"/>
    <x v="5"/>
    <n v="169"/>
    <x v="22"/>
    <x v="6"/>
    <x v="0"/>
  </r>
  <r>
    <s v="F249"/>
    <x v="6"/>
    <x v="1"/>
    <x v="8"/>
    <x v="1"/>
    <x v="11"/>
    <n v="234"/>
    <x v="25"/>
    <x v="1"/>
    <x v="0"/>
  </r>
  <r>
    <s v="F250"/>
    <x v="4"/>
    <x v="0"/>
    <x v="6"/>
    <x v="1"/>
    <x v="9"/>
    <n v="238"/>
    <x v="23"/>
    <x v="4"/>
    <x v="0"/>
  </r>
  <r>
    <s v="F251"/>
    <x v="6"/>
    <x v="1"/>
    <x v="9"/>
    <x v="1"/>
    <x v="0"/>
    <n v="97"/>
    <x v="14"/>
    <x v="7"/>
    <x v="1"/>
  </r>
  <r>
    <s v="F252"/>
    <x v="7"/>
    <x v="2"/>
    <x v="9"/>
    <x v="1"/>
    <x v="2"/>
    <n v="373"/>
    <x v="5"/>
    <x v="6"/>
    <x v="2"/>
  </r>
  <r>
    <s v="F253"/>
    <x v="3"/>
    <x v="1"/>
    <x v="4"/>
    <x v="1"/>
    <x v="1"/>
    <n v="254"/>
    <x v="6"/>
    <x v="4"/>
    <x v="0"/>
  </r>
  <r>
    <s v="F254"/>
    <x v="5"/>
    <x v="2"/>
    <x v="1"/>
    <x v="0"/>
    <x v="8"/>
    <n v="370"/>
    <x v="17"/>
    <x v="3"/>
    <x v="2"/>
  </r>
  <r>
    <s v="F255"/>
    <x v="1"/>
    <x v="1"/>
    <x v="9"/>
    <x v="2"/>
    <x v="3"/>
    <n v="167"/>
    <x v="7"/>
    <x v="5"/>
    <x v="0"/>
  </r>
  <r>
    <s v="F256"/>
    <x v="6"/>
    <x v="1"/>
    <x v="2"/>
    <x v="0"/>
    <x v="1"/>
    <n v="227"/>
    <x v="6"/>
    <x v="7"/>
    <x v="0"/>
  </r>
  <r>
    <s v="F257"/>
    <x v="7"/>
    <x v="2"/>
    <x v="2"/>
    <x v="2"/>
    <x v="3"/>
    <n v="555"/>
    <x v="16"/>
    <x v="0"/>
    <x v="2"/>
  </r>
  <r>
    <s v="F258"/>
    <x v="3"/>
    <x v="1"/>
    <x v="4"/>
    <x v="0"/>
    <x v="9"/>
    <n v="347"/>
    <x v="11"/>
    <x v="7"/>
    <x v="2"/>
  </r>
  <r>
    <s v="F259"/>
    <x v="8"/>
    <x v="0"/>
    <x v="2"/>
    <x v="0"/>
    <x v="10"/>
    <n v="97"/>
    <x v="0"/>
    <x v="1"/>
    <x v="1"/>
  </r>
  <r>
    <s v="F260"/>
    <x v="7"/>
    <x v="2"/>
    <x v="4"/>
    <x v="2"/>
    <x v="0"/>
    <n v="166"/>
    <x v="17"/>
    <x v="6"/>
    <x v="0"/>
  </r>
  <r>
    <s v="F261"/>
    <x v="7"/>
    <x v="2"/>
    <x v="4"/>
    <x v="2"/>
    <x v="2"/>
    <n v="443"/>
    <x v="0"/>
    <x v="9"/>
    <x v="2"/>
  </r>
  <r>
    <s v="F262"/>
    <x v="3"/>
    <x v="1"/>
    <x v="4"/>
    <x v="0"/>
    <x v="8"/>
    <n v="58"/>
    <x v="25"/>
    <x v="3"/>
    <x v="1"/>
  </r>
  <r>
    <s v="F263"/>
    <x v="6"/>
    <x v="1"/>
    <x v="7"/>
    <x v="2"/>
    <x v="9"/>
    <n v="60"/>
    <x v="14"/>
    <x v="5"/>
    <x v="1"/>
  </r>
  <r>
    <s v="F264"/>
    <x v="6"/>
    <x v="1"/>
    <x v="6"/>
    <x v="0"/>
    <x v="8"/>
    <n v="251"/>
    <x v="9"/>
    <x v="3"/>
    <x v="0"/>
  </r>
  <r>
    <s v="F265"/>
    <x v="0"/>
    <x v="0"/>
    <x v="3"/>
    <x v="1"/>
    <x v="7"/>
    <n v="307"/>
    <x v="12"/>
    <x v="9"/>
    <x v="2"/>
  </r>
  <r>
    <s v="F266"/>
    <x v="7"/>
    <x v="2"/>
    <x v="1"/>
    <x v="0"/>
    <x v="1"/>
    <n v="303"/>
    <x v="22"/>
    <x v="3"/>
    <x v="2"/>
  </r>
  <r>
    <s v="F267"/>
    <x v="7"/>
    <x v="2"/>
    <x v="7"/>
    <x v="1"/>
    <x v="3"/>
    <n v="252"/>
    <x v="19"/>
    <x v="1"/>
    <x v="0"/>
  </r>
  <r>
    <s v="F268"/>
    <x v="6"/>
    <x v="1"/>
    <x v="0"/>
    <x v="2"/>
    <x v="2"/>
    <n v="188"/>
    <x v="18"/>
    <x v="4"/>
    <x v="0"/>
  </r>
  <r>
    <s v="F269"/>
    <x v="8"/>
    <x v="0"/>
    <x v="2"/>
    <x v="1"/>
    <x v="2"/>
    <n v="283"/>
    <x v="12"/>
    <x v="6"/>
    <x v="0"/>
  </r>
  <r>
    <s v="F270"/>
    <x v="1"/>
    <x v="1"/>
    <x v="5"/>
    <x v="2"/>
    <x v="9"/>
    <n v="37"/>
    <x v="0"/>
    <x v="9"/>
    <x v="1"/>
  </r>
  <r>
    <s v="F271"/>
    <x v="0"/>
    <x v="0"/>
    <x v="3"/>
    <x v="2"/>
    <x v="4"/>
    <n v="256"/>
    <x v="0"/>
    <x v="4"/>
    <x v="0"/>
  </r>
  <r>
    <s v="F273"/>
    <x v="8"/>
    <x v="0"/>
    <x v="9"/>
    <x v="1"/>
    <x v="2"/>
    <n v="195"/>
    <x v="6"/>
    <x v="4"/>
    <x v="0"/>
  </r>
  <r>
    <s v="F274"/>
    <x v="5"/>
    <x v="2"/>
    <x v="1"/>
    <x v="2"/>
    <x v="3"/>
    <n v="432"/>
    <x v="14"/>
    <x v="5"/>
    <x v="2"/>
  </r>
  <r>
    <s v="F276"/>
    <x v="8"/>
    <x v="0"/>
    <x v="8"/>
    <x v="0"/>
    <x v="4"/>
    <n v="252"/>
    <x v="22"/>
    <x v="8"/>
    <x v="0"/>
  </r>
  <r>
    <s v="F277"/>
    <x v="4"/>
    <x v="0"/>
    <x v="0"/>
    <x v="1"/>
    <x v="1"/>
    <n v="215"/>
    <x v="24"/>
    <x v="8"/>
    <x v="0"/>
  </r>
  <r>
    <s v="F278"/>
    <x v="3"/>
    <x v="1"/>
    <x v="2"/>
    <x v="0"/>
    <x v="11"/>
    <n v="321"/>
    <x v="4"/>
    <x v="5"/>
    <x v="2"/>
  </r>
  <r>
    <s v="F279"/>
    <x v="6"/>
    <x v="1"/>
    <x v="6"/>
    <x v="0"/>
    <x v="1"/>
    <n v="232"/>
    <x v="1"/>
    <x v="7"/>
    <x v="0"/>
  </r>
  <r>
    <s v="F280"/>
    <x v="8"/>
    <x v="0"/>
    <x v="3"/>
    <x v="2"/>
    <x v="5"/>
    <n v="184"/>
    <x v="6"/>
    <x v="3"/>
    <x v="0"/>
  </r>
  <r>
    <s v="F281"/>
    <x v="7"/>
    <x v="2"/>
    <x v="4"/>
    <x v="0"/>
    <x v="0"/>
    <n v="326"/>
    <x v="16"/>
    <x v="3"/>
    <x v="2"/>
  </r>
  <r>
    <s v="F282"/>
    <x v="7"/>
    <x v="2"/>
    <x v="7"/>
    <x v="0"/>
    <x v="3"/>
    <n v="273"/>
    <x v="18"/>
    <x v="5"/>
    <x v="0"/>
  </r>
  <r>
    <s v="F283"/>
    <x v="6"/>
    <x v="1"/>
    <x v="6"/>
    <x v="1"/>
    <x v="3"/>
    <n v="148"/>
    <x v="16"/>
    <x v="8"/>
    <x v="0"/>
  </r>
  <r>
    <s v="F284"/>
    <x v="3"/>
    <x v="1"/>
    <x v="6"/>
    <x v="1"/>
    <x v="9"/>
    <n v="295"/>
    <x v="2"/>
    <x v="1"/>
    <x v="0"/>
  </r>
  <r>
    <s v="F285"/>
    <x v="8"/>
    <x v="0"/>
    <x v="3"/>
    <x v="0"/>
    <x v="5"/>
    <n v="237"/>
    <x v="18"/>
    <x v="0"/>
    <x v="0"/>
  </r>
  <r>
    <s v="F286"/>
    <x v="3"/>
    <x v="1"/>
    <x v="7"/>
    <x v="2"/>
    <x v="5"/>
    <n v="110"/>
    <x v="17"/>
    <x v="7"/>
    <x v="0"/>
  </r>
  <r>
    <s v="F287"/>
    <x v="4"/>
    <x v="0"/>
    <x v="9"/>
    <x v="2"/>
    <x v="4"/>
    <n v="320"/>
    <x v="14"/>
    <x v="7"/>
    <x v="2"/>
  </r>
  <r>
    <s v="F288"/>
    <x v="0"/>
    <x v="0"/>
    <x v="5"/>
    <x v="1"/>
    <x v="7"/>
    <n v="267"/>
    <x v="10"/>
    <x v="9"/>
    <x v="0"/>
  </r>
  <r>
    <s v="F289"/>
    <x v="4"/>
    <x v="0"/>
    <x v="5"/>
    <x v="1"/>
    <x v="4"/>
    <n v="179"/>
    <x v="6"/>
    <x v="5"/>
    <x v="0"/>
  </r>
  <r>
    <s v="F290"/>
    <x v="0"/>
    <x v="0"/>
    <x v="5"/>
    <x v="0"/>
    <x v="5"/>
    <n v="223"/>
    <x v="22"/>
    <x v="8"/>
    <x v="0"/>
  </r>
  <r>
    <s v="F292"/>
    <x v="1"/>
    <x v="1"/>
    <x v="4"/>
    <x v="1"/>
    <x v="3"/>
    <n v="260"/>
    <x v="20"/>
    <x v="7"/>
    <x v="0"/>
  </r>
  <r>
    <s v="F293"/>
    <x v="4"/>
    <x v="0"/>
    <x v="0"/>
    <x v="1"/>
    <x v="10"/>
    <n v="322"/>
    <x v="23"/>
    <x v="3"/>
    <x v="2"/>
  </r>
  <r>
    <s v="F295"/>
    <x v="5"/>
    <x v="2"/>
    <x v="2"/>
    <x v="2"/>
    <x v="1"/>
    <n v="410"/>
    <x v="23"/>
    <x v="8"/>
    <x v="2"/>
  </r>
  <r>
    <s v="F296"/>
    <x v="5"/>
    <x v="2"/>
    <x v="3"/>
    <x v="1"/>
    <x v="8"/>
    <n v="494"/>
    <x v="0"/>
    <x v="2"/>
    <x v="2"/>
  </r>
  <r>
    <s v="F300"/>
    <x v="2"/>
    <x v="2"/>
    <x v="0"/>
    <x v="2"/>
    <x v="8"/>
    <n v="227"/>
    <x v="20"/>
    <x v="1"/>
    <x v="0"/>
  </r>
  <r>
    <s v="F301"/>
    <x v="3"/>
    <x v="1"/>
    <x v="7"/>
    <x v="0"/>
    <x v="9"/>
    <n v="31"/>
    <x v="2"/>
    <x v="4"/>
    <x v="1"/>
  </r>
  <r>
    <s v="F302"/>
    <x v="2"/>
    <x v="2"/>
    <x v="7"/>
    <x v="2"/>
    <x v="0"/>
    <n v="394"/>
    <x v="23"/>
    <x v="9"/>
    <x v="2"/>
  </r>
  <r>
    <s v="F303"/>
    <x v="8"/>
    <x v="0"/>
    <x v="3"/>
    <x v="0"/>
    <x v="9"/>
    <n v="261"/>
    <x v="7"/>
    <x v="5"/>
    <x v="0"/>
  </r>
  <r>
    <s v="F305"/>
    <x v="5"/>
    <x v="2"/>
    <x v="9"/>
    <x v="0"/>
    <x v="3"/>
    <n v="510"/>
    <x v="18"/>
    <x v="6"/>
    <x v="2"/>
  </r>
  <r>
    <s v="F306"/>
    <x v="7"/>
    <x v="2"/>
    <x v="7"/>
    <x v="0"/>
    <x v="3"/>
    <n v="212"/>
    <x v="4"/>
    <x v="4"/>
    <x v="0"/>
  </r>
  <r>
    <s v="F307"/>
    <x v="3"/>
    <x v="1"/>
    <x v="5"/>
    <x v="2"/>
    <x v="5"/>
    <n v="74"/>
    <x v="14"/>
    <x v="5"/>
    <x v="1"/>
  </r>
  <r>
    <s v="F308"/>
    <x v="0"/>
    <x v="0"/>
    <x v="4"/>
    <x v="2"/>
    <x v="4"/>
    <n v="325"/>
    <x v="9"/>
    <x v="4"/>
    <x v="2"/>
  </r>
  <r>
    <s v="F309"/>
    <x v="5"/>
    <x v="2"/>
    <x v="7"/>
    <x v="0"/>
    <x v="3"/>
    <n v="205"/>
    <x v="17"/>
    <x v="8"/>
    <x v="0"/>
  </r>
  <r>
    <s v="F310"/>
    <x v="2"/>
    <x v="2"/>
    <x v="6"/>
    <x v="1"/>
    <x v="1"/>
    <n v="421"/>
    <x v="21"/>
    <x v="1"/>
    <x v="2"/>
  </r>
  <r>
    <s v="F311"/>
    <x v="4"/>
    <x v="0"/>
    <x v="1"/>
    <x v="2"/>
    <x v="9"/>
    <n v="321"/>
    <x v="0"/>
    <x v="3"/>
    <x v="2"/>
  </r>
  <r>
    <s v="F312"/>
    <x v="4"/>
    <x v="0"/>
    <x v="7"/>
    <x v="1"/>
    <x v="9"/>
    <n v="323"/>
    <x v="18"/>
    <x v="1"/>
    <x v="2"/>
  </r>
  <r>
    <s v="F313"/>
    <x v="5"/>
    <x v="2"/>
    <x v="4"/>
    <x v="2"/>
    <x v="1"/>
    <n v="543"/>
    <x v="1"/>
    <x v="8"/>
    <x v="2"/>
  </r>
  <r>
    <s v="F314"/>
    <x v="2"/>
    <x v="2"/>
    <x v="7"/>
    <x v="0"/>
    <x v="2"/>
    <n v="169"/>
    <x v="15"/>
    <x v="3"/>
    <x v="0"/>
  </r>
  <r>
    <s v="F315"/>
    <x v="3"/>
    <x v="1"/>
    <x v="8"/>
    <x v="1"/>
    <x v="5"/>
    <n v="203"/>
    <x v="19"/>
    <x v="3"/>
    <x v="0"/>
  </r>
  <r>
    <s v="F316"/>
    <x v="5"/>
    <x v="2"/>
    <x v="0"/>
    <x v="1"/>
    <x v="3"/>
    <n v="458"/>
    <x v="0"/>
    <x v="9"/>
    <x v="2"/>
  </r>
  <r>
    <s v="F317"/>
    <x v="5"/>
    <x v="2"/>
    <x v="3"/>
    <x v="0"/>
    <x v="1"/>
    <n v="402"/>
    <x v="5"/>
    <x v="3"/>
    <x v="2"/>
  </r>
  <r>
    <s v="F318"/>
    <x v="1"/>
    <x v="1"/>
    <x v="3"/>
    <x v="2"/>
    <x v="3"/>
    <n v="57"/>
    <x v="8"/>
    <x v="6"/>
    <x v="1"/>
  </r>
  <r>
    <s v="F319"/>
    <x v="5"/>
    <x v="2"/>
    <x v="8"/>
    <x v="1"/>
    <x v="2"/>
    <n v="554"/>
    <x v="14"/>
    <x v="1"/>
    <x v="2"/>
  </r>
  <r>
    <s v="F320"/>
    <x v="8"/>
    <x v="0"/>
    <x v="2"/>
    <x v="0"/>
    <x v="7"/>
    <n v="298"/>
    <x v="23"/>
    <x v="0"/>
    <x v="0"/>
  </r>
  <r>
    <s v="F321"/>
    <x v="3"/>
    <x v="1"/>
    <x v="1"/>
    <x v="1"/>
    <x v="5"/>
    <n v="244"/>
    <x v="8"/>
    <x v="1"/>
    <x v="0"/>
  </r>
  <r>
    <s v="F322"/>
    <x v="4"/>
    <x v="0"/>
    <x v="9"/>
    <x v="2"/>
    <x v="0"/>
    <n v="216"/>
    <x v="16"/>
    <x v="5"/>
    <x v="0"/>
  </r>
  <r>
    <s v="F324"/>
    <x v="0"/>
    <x v="0"/>
    <x v="3"/>
    <x v="2"/>
    <x v="2"/>
    <n v="337"/>
    <x v="15"/>
    <x v="5"/>
    <x v="2"/>
  </r>
  <r>
    <s v="F325"/>
    <x v="0"/>
    <x v="0"/>
    <x v="9"/>
    <x v="2"/>
    <x v="4"/>
    <n v="192"/>
    <x v="16"/>
    <x v="6"/>
    <x v="0"/>
  </r>
  <r>
    <s v="F326"/>
    <x v="8"/>
    <x v="0"/>
    <x v="3"/>
    <x v="0"/>
    <x v="6"/>
    <n v="271"/>
    <x v="20"/>
    <x v="4"/>
    <x v="0"/>
  </r>
  <r>
    <s v="F327"/>
    <x v="6"/>
    <x v="1"/>
    <x v="7"/>
    <x v="0"/>
    <x v="9"/>
    <n v="126"/>
    <x v="7"/>
    <x v="8"/>
    <x v="0"/>
  </r>
  <r>
    <s v="F328"/>
    <x v="0"/>
    <x v="0"/>
    <x v="7"/>
    <x v="2"/>
    <x v="5"/>
    <n v="265"/>
    <x v="1"/>
    <x v="8"/>
    <x v="0"/>
  </r>
  <r>
    <s v="F329"/>
    <x v="0"/>
    <x v="0"/>
    <x v="0"/>
    <x v="0"/>
    <x v="7"/>
    <n v="183"/>
    <x v="4"/>
    <x v="3"/>
    <x v="0"/>
  </r>
  <r>
    <s v="F330"/>
    <x v="8"/>
    <x v="0"/>
    <x v="4"/>
    <x v="0"/>
    <x v="5"/>
    <n v="185"/>
    <x v="2"/>
    <x v="6"/>
    <x v="0"/>
  </r>
  <r>
    <s v="F331"/>
    <x v="0"/>
    <x v="0"/>
    <x v="7"/>
    <x v="2"/>
    <x v="10"/>
    <n v="312"/>
    <x v="0"/>
    <x v="2"/>
    <x v="2"/>
  </r>
  <r>
    <s v="F332"/>
    <x v="6"/>
    <x v="1"/>
    <x v="2"/>
    <x v="1"/>
    <x v="2"/>
    <n v="344"/>
    <x v="19"/>
    <x v="7"/>
    <x v="2"/>
  </r>
  <r>
    <s v="F333"/>
    <x v="3"/>
    <x v="1"/>
    <x v="9"/>
    <x v="1"/>
    <x v="0"/>
    <n v="296"/>
    <x v="1"/>
    <x v="2"/>
    <x v="0"/>
  </r>
  <r>
    <s v="F334"/>
    <x v="7"/>
    <x v="2"/>
    <x v="1"/>
    <x v="0"/>
    <x v="0"/>
    <n v="185"/>
    <x v="12"/>
    <x v="6"/>
    <x v="0"/>
  </r>
  <r>
    <s v="F335"/>
    <x v="4"/>
    <x v="0"/>
    <x v="9"/>
    <x v="2"/>
    <x v="2"/>
    <n v="149"/>
    <x v="10"/>
    <x v="2"/>
    <x v="0"/>
  </r>
  <r>
    <s v="F336"/>
    <x v="7"/>
    <x v="2"/>
    <x v="5"/>
    <x v="2"/>
    <x v="2"/>
    <n v="343"/>
    <x v="6"/>
    <x v="4"/>
    <x v="2"/>
  </r>
  <r>
    <s v="F337"/>
    <x v="8"/>
    <x v="0"/>
    <x v="4"/>
    <x v="1"/>
    <x v="2"/>
    <n v="281"/>
    <x v="23"/>
    <x v="1"/>
    <x v="0"/>
  </r>
  <r>
    <s v="F338"/>
    <x v="4"/>
    <x v="0"/>
    <x v="0"/>
    <x v="2"/>
    <x v="5"/>
    <n v="297"/>
    <x v="23"/>
    <x v="1"/>
    <x v="0"/>
  </r>
  <r>
    <s v="F339"/>
    <x v="2"/>
    <x v="2"/>
    <x v="3"/>
    <x v="2"/>
    <x v="3"/>
    <n v="246"/>
    <x v="15"/>
    <x v="0"/>
    <x v="0"/>
  </r>
  <r>
    <s v="F340"/>
    <x v="4"/>
    <x v="0"/>
    <x v="5"/>
    <x v="0"/>
    <x v="10"/>
    <n v="88"/>
    <x v="21"/>
    <x v="0"/>
    <x v="1"/>
  </r>
  <r>
    <s v="F341"/>
    <x v="0"/>
    <x v="0"/>
    <x v="2"/>
    <x v="1"/>
    <x v="5"/>
    <n v="104"/>
    <x v="21"/>
    <x v="7"/>
    <x v="0"/>
  </r>
  <r>
    <s v="F342"/>
    <x v="3"/>
    <x v="1"/>
    <x v="3"/>
    <x v="1"/>
    <x v="2"/>
    <n v="28"/>
    <x v="11"/>
    <x v="5"/>
    <x v="1"/>
  </r>
  <r>
    <s v="F343"/>
    <x v="2"/>
    <x v="2"/>
    <x v="2"/>
    <x v="2"/>
    <x v="1"/>
    <n v="545"/>
    <x v="7"/>
    <x v="9"/>
    <x v="2"/>
  </r>
  <r>
    <s v="F344"/>
    <x v="2"/>
    <x v="2"/>
    <x v="9"/>
    <x v="1"/>
    <x v="0"/>
    <n v="416"/>
    <x v="21"/>
    <x v="5"/>
    <x v="2"/>
  </r>
  <r>
    <s v="F345"/>
    <x v="5"/>
    <x v="2"/>
    <x v="0"/>
    <x v="0"/>
    <x v="0"/>
    <n v="600"/>
    <x v="2"/>
    <x v="3"/>
    <x v="2"/>
  </r>
  <r>
    <s v="F346"/>
    <x v="3"/>
    <x v="1"/>
    <x v="7"/>
    <x v="2"/>
    <x v="11"/>
    <n v="176"/>
    <x v="16"/>
    <x v="2"/>
    <x v="0"/>
  </r>
  <r>
    <s v="F347"/>
    <x v="1"/>
    <x v="1"/>
    <x v="4"/>
    <x v="0"/>
    <x v="1"/>
    <n v="76"/>
    <x v="14"/>
    <x v="3"/>
    <x v="1"/>
  </r>
  <r>
    <s v="F348"/>
    <x v="1"/>
    <x v="1"/>
    <x v="3"/>
    <x v="1"/>
    <x v="9"/>
    <n v="153"/>
    <x v="22"/>
    <x v="3"/>
    <x v="0"/>
  </r>
  <r>
    <s v="F349"/>
    <x v="6"/>
    <x v="1"/>
    <x v="0"/>
    <x v="0"/>
    <x v="1"/>
    <n v="213"/>
    <x v="4"/>
    <x v="3"/>
    <x v="0"/>
  </r>
  <r>
    <s v="F350"/>
    <x v="3"/>
    <x v="1"/>
    <x v="6"/>
    <x v="2"/>
    <x v="3"/>
    <n v="331"/>
    <x v="1"/>
    <x v="6"/>
    <x v="2"/>
  </r>
  <r>
    <s v="F351"/>
    <x v="7"/>
    <x v="2"/>
    <x v="1"/>
    <x v="0"/>
    <x v="2"/>
    <n v="247"/>
    <x v="25"/>
    <x v="2"/>
    <x v="0"/>
  </r>
  <r>
    <s v="F353"/>
    <x v="1"/>
    <x v="1"/>
    <x v="6"/>
    <x v="2"/>
    <x v="3"/>
    <n v="170"/>
    <x v="8"/>
    <x v="7"/>
    <x v="0"/>
  </r>
  <r>
    <s v="F354"/>
    <x v="2"/>
    <x v="2"/>
    <x v="6"/>
    <x v="0"/>
    <x v="3"/>
    <n v="536"/>
    <x v="18"/>
    <x v="1"/>
    <x v="2"/>
  </r>
  <r>
    <s v="F356"/>
    <x v="3"/>
    <x v="1"/>
    <x v="3"/>
    <x v="0"/>
    <x v="0"/>
    <n v="157"/>
    <x v="14"/>
    <x v="4"/>
    <x v="0"/>
  </r>
  <r>
    <s v="F357"/>
    <x v="6"/>
    <x v="1"/>
    <x v="3"/>
    <x v="1"/>
    <x v="9"/>
    <n v="240"/>
    <x v="10"/>
    <x v="9"/>
    <x v="0"/>
  </r>
  <r>
    <s v="F358"/>
    <x v="2"/>
    <x v="2"/>
    <x v="4"/>
    <x v="2"/>
    <x v="8"/>
    <n v="438"/>
    <x v="5"/>
    <x v="3"/>
    <x v="2"/>
  </r>
  <r>
    <s v="F359"/>
    <x v="4"/>
    <x v="0"/>
    <x v="9"/>
    <x v="0"/>
    <x v="7"/>
    <n v="293"/>
    <x v="14"/>
    <x v="1"/>
    <x v="0"/>
  </r>
  <r>
    <s v="F360"/>
    <x v="7"/>
    <x v="2"/>
    <x v="6"/>
    <x v="2"/>
    <x v="1"/>
    <n v="275"/>
    <x v="18"/>
    <x v="9"/>
    <x v="0"/>
  </r>
  <r>
    <s v="F361"/>
    <x v="5"/>
    <x v="2"/>
    <x v="3"/>
    <x v="0"/>
    <x v="1"/>
    <n v="401"/>
    <x v="18"/>
    <x v="9"/>
    <x v="2"/>
  </r>
  <r>
    <s v="F362"/>
    <x v="8"/>
    <x v="0"/>
    <x v="8"/>
    <x v="0"/>
    <x v="5"/>
    <n v="174"/>
    <x v="15"/>
    <x v="4"/>
    <x v="0"/>
  </r>
  <r>
    <s v="F363"/>
    <x v="4"/>
    <x v="0"/>
    <x v="7"/>
    <x v="1"/>
    <x v="7"/>
    <n v="118"/>
    <x v="16"/>
    <x v="7"/>
    <x v="0"/>
  </r>
  <r>
    <s v="F364"/>
    <x v="4"/>
    <x v="0"/>
    <x v="5"/>
    <x v="1"/>
    <x v="7"/>
    <n v="198"/>
    <x v="1"/>
    <x v="3"/>
    <x v="0"/>
  </r>
  <r>
    <s v="F365"/>
    <x v="4"/>
    <x v="0"/>
    <x v="6"/>
    <x v="0"/>
    <x v="5"/>
    <n v="110"/>
    <x v="17"/>
    <x v="8"/>
    <x v="0"/>
  </r>
  <r>
    <s v="F366"/>
    <x v="6"/>
    <x v="1"/>
    <x v="3"/>
    <x v="1"/>
    <x v="11"/>
    <n v="282"/>
    <x v="20"/>
    <x v="7"/>
    <x v="0"/>
  </r>
  <r>
    <s v="F367"/>
    <x v="1"/>
    <x v="1"/>
    <x v="9"/>
    <x v="0"/>
    <x v="5"/>
    <n v="8"/>
    <x v="23"/>
    <x v="2"/>
    <x v="1"/>
  </r>
  <r>
    <s v="F368"/>
    <x v="8"/>
    <x v="0"/>
    <x v="1"/>
    <x v="1"/>
    <x v="5"/>
    <n v="203"/>
    <x v="9"/>
    <x v="4"/>
    <x v="0"/>
  </r>
  <r>
    <s v="F369"/>
    <x v="5"/>
    <x v="2"/>
    <x v="4"/>
    <x v="2"/>
    <x v="2"/>
    <n v="190"/>
    <x v="6"/>
    <x v="2"/>
    <x v="0"/>
  </r>
  <r>
    <s v="F370"/>
    <x v="6"/>
    <x v="1"/>
    <x v="2"/>
    <x v="1"/>
    <x v="5"/>
    <n v="115"/>
    <x v="14"/>
    <x v="0"/>
    <x v="0"/>
  </r>
  <r>
    <s v="F371"/>
    <x v="4"/>
    <x v="0"/>
    <x v="1"/>
    <x v="2"/>
    <x v="9"/>
    <n v="323"/>
    <x v="25"/>
    <x v="7"/>
    <x v="2"/>
  </r>
  <r>
    <s v="F372"/>
    <x v="8"/>
    <x v="0"/>
    <x v="1"/>
    <x v="2"/>
    <x v="7"/>
    <n v="249"/>
    <x v="4"/>
    <x v="0"/>
    <x v="0"/>
  </r>
  <r>
    <s v="F373"/>
    <x v="1"/>
    <x v="1"/>
    <x v="0"/>
    <x v="1"/>
    <x v="3"/>
    <n v="290"/>
    <x v="18"/>
    <x v="7"/>
    <x v="0"/>
  </r>
  <r>
    <s v="F374"/>
    <x v="0"/>
    <x v="0"/>
    <x v="9"/>
    <x v="0"/>
    <x v="4"/>
    <n v="96"/>
    <x v="11"/>
    <x v="9"/>
    <x v="1"/>
  </r>
  <r>
    <s v="F375"/>
    <x v="4"/>
    <x v="0"/>
    <x v="6"/>
    <x v="0"/>
    <x v="2"/>
    <n v="283"/>
    <x v="15"/>
    <x v="5"/>
    <x v="0"/>
  </r>
  <r>
    <s v="F376"/>
    <x v="8"/>
    <x v="0"/>
    <x v="2"/>
    <x v="1"/>
    <x v="4"/>
    <n v="279"/>
    <x v="7"/>
    <x v="4"/>
    <x v="0"/>
  </r>
  <r>
    <s v="F377"/>
    <x v="7"/>
    <x v="2"/>
    <x v="5"/>
    <x v="0"/>
    <x v="3"/>
    <n v="502"/>
    <x v="2"/>
    <x v="4"/>
    <x v="2"/>
  </r>
  <r>
    <s v="F378"/>
    <x v="7"/>
    <x v="2"/>
    <x v="0"/>
    <x v="1"/>
    <x v="8"/>
    <n v="579"/>
    <x v="1"/>
    <x v="8"/>
    <x v="2"/>
  </r>
  <r>
    <s v="F380"/>
    <x v="6"/>
    <x v="1"/>
    <x v="3"/>
    <x v="1"/>
    <x v="8"/>
    <n v="192"/>
    <x v="13"/>
    <x v="8"/>
    <x v="0"/>
  </r>
  <r>
    <s v="F381"/>
    <x v="3"/>
    <x v="1"/>
    <x v="1"/>
    <x v="0"/>
    <x v="8"/>
    <n v="126"/>
    <x v="2"/>
    <x v="0"/>
    <x v="0"/>
  </r>
  <r>
    <s v="F382"/>
    <x v="5"/>
    <x v="2"/>
    <x v="8"/>
    <x v="2"/>
    <x v="2"/>
    <n v="474"/>
    <x v="11"/>
    <x v="2"/>
    <x v="2"/>
  </r>
  <r>
    <s v="F383"/>
    <x v="7"/>
    <x v="2"/>
    <x v="4"/>
    <x v="1"/>
    <x v="11"/>
    <n v="307"/>
    <x v="13"/>
    <x v="5"/>
    <x v="2"/>
  </r>
  <r>
    <s v="F384"/>
    <x v="0"/>
    <x v="0"/>
    <x v="8"/>
    <x v="1"/>
    <x v="0"/>
    <n v="309"/>
    <x v="4"/>
    <x v="4"/>
    <x v="2"/>
  </r>
  <r>
    <s v="F385"/>
    <x v="3"/>
    <x v="1"/>
    <x v="1"/>
    <x v="1"/>
    <x v="3"/>
    <n v="283"/>
    <x v="1"/>
    <x v="8"/>
    <x v="0"/>
  </r>
  <r>
    <s v="F386"/>
    <x v="7"/>
    <x v="2"/>
    <x v="5"/>
    <x v="1"/>
    <x v="3"/>
    <n v="348"/>
    <x v="10"/>
    <x v="4"/>
    <x v="2"/>
  </r>
  <r>
    <s v="F387"/>
    <x v="2"/>
    <x v="2"/>
    <x v="2"/>
    <x v="0"/>
    <x v="3"/>
    <n v="344"/>
    <x v="11"/>
    <x v="5"/>
    <x v="2"/>
  </r>
  <r>
    <s v="F388"/>
    <x v="5"/>
    <x v="2"/>
    <x v="9"/>
    <x v="2"/>
    <x v="3"/>
    <n v="235"/>
    <x v="13"/>
    <x v="2"/>
    <x v="0"/>
  </r>
  <r>
    <s v="F389"/>
    <x v="5"/>
    <x v="2"/>
    <x v="3"/>
    <x v="1"/>
    <x v="8"/>
    <n v="276"/>
    <x v="2"/>
    <x v="6"/>
    <x v="0"/>
  </r>
  <r>
    <s v="F391"/>
    <x v="7"/>
    <x v="2"/>
    <x v="2"/>
    <x v="2"/>
    <x v="2"/>
    <n v="318"/>
    <x v="13"/>
    <x v="2"/>
    <x v="2"/>
  </r>
  <r>
    <s v="F393"/>
    <x v="3"/>
    <x v="1"/>
    <x v="4"/>
    <x v="2"/>
    <x v="0"/>
    <n v="324"/>
    <x v="18"/>
    <x v="8"/>
    <x v="2"/>
  </r>
  <r>
    <s v="F394"/>
    <x v="2"/>
    <x v="2"/>
    <x v="4"/>
    <x v="2"/>
    <x v="3"/>
    <n v="552"/>
    <x v="20"/>
    <x v="0"/>
    <x v="2"/>
  </r>
  <r>
    <s v="F396"/>
    <x v="4"/>
    <x v="0"/>
    <x v="3"/>
    <x v="0"/>
    <x v="0"/>
    <n v="229"/>
    <x v="22"/>
    <x v="0"/>
    <x v="0"/>
  </r>
  <r>
    <s v="F397"/>
    <x v="3"/>
    <x v="1"/>
    <x v="3"/>
    <x v="1"/>
    <x v="2"/>
    <n v="123"/>
    <x v="21"/>
    <x v="3"/>
    <x v="0"/>
  </r>
  <r>
    <s v="F398"/>
    <x v="3"/>
    <x v="1"/>
    <x v="5"/>
    <x v="1"/>
    <x v="1"/>
    <n v="306"/>
    <x v="18"/>
    <x v="2"/>
    <x v="2"/>
  </r>
  <r>
    <s v="F399"/>
    <x v="1"/>
    <x v="1"/>
    <x v="7"/>
    <x v="0"/>
    <x v="1"/>
    <n v="18"/>
    <x v="19"/>
    <x v="9"/>
    <x v="1"/>
  </r>
  <r>
    <s v="F400"/>
    <x v="1"/>
    <x v="1"/>
    <x v="2"/>
    <x v="0"/>
    <x v="9"/>
    <n v="55"/>
    <x v="10"/>
    <x v="9"/>
    <x v="1"/>
  </r>
  <r>
    <s v="F401"/>
    <x v="8"/>
    <x v="0"/>
    <x v="2"/>
    <x v="1"/>
    <x v="4"/>
    <n v="284"/>
    <x v="16"/>
    <x v="9"/>
    <x v="0"/>
  </r>
  <r>
    <s v="F402"/>
    <x v="3"/>
    <x v="1"/>
    <x v="1"/>
    <x v="1"/>
    <x v="3"/>
    <n v="113"/>
    <x v="23"/>
    <x v="4"/>
    <x v="0"/>
  </r>
  <r>
    <s v="F403"/>
    <x v="1"/>
    <x v="1"/>
    <x v="2"/>
    <x v="0"/>
    <x v="2"/>
    <n v="228"/>
    <x v="6"/>
    <x v="6"/>
    <x v="0"/>
  </r>
  <r>
    <s v="F405"/>
    <x v="3"/>
    <x v="1"/>
    <x v="1"/>
    <x v="1"/>
    <x v="9"/>
    <n v="72"/>
    <x v="6"/>
    <x v="9"/>
    <x v="1"/>
  </r>
  <r>
    <s v="F406"/>
    <x v="6"/>
    <x v="1"/>
    <x v="6"/>
    <x v="0"/>
    <x v="1"/>
    <n v="243"/>
    <x v="1"/>
    <x v="6"/>
    <x v="0"/>
  </r>
  <r>
    <s v="F407"/>
    <x v="7"/>
    <x v="2"/>
    <x v="1"/>
    <x v="2"/>
    <x v="11"/>
    <n v="513"/>
    <x v="0"/>
    <x v="9"/>
    <x v="2"/>
  </r>
  <r>
    <s v="F408"/>
    <x v="0"/>
    <x v="0"/>
    <x v="8"/>
    <x v="0"/>
    <x v="0"/>
    <n v="169"/>
    <x v="4"/>
    <x v="9"/>
    <x v="0"/>
  </r>
  <r>
    <s v="F409"/>
    <x v="1"/>
    <x v="1"/>
    <x v="5"/>
    <x v="2"/>
    <x v="8"/>
    <n v="207"/>
    <x v="24"/>
    <x v="3"/>
    <x v="0"/>
  </r>
  <r>
    <s v="F410"/>
    <x v="3"/>
    <x v="1"/>
    <x v="5"/>
    <x v="1"/>
    <x v="0"/>
    <n v="101"/>
    <x v="13"/>
    <x v="2"/>
    <x v="0"/>
  </r>
  <r>
    <s v="F411"/>
    <x v="3"/>
    <x v="1"/>
    <x v="0"/>
    <x v="0"/>
    <x v="3"/>
    <n v="142"/>
    <x v="10"/>
    <x v="0"/>
    <x v="0"/>
  </r>
  <r>
    <s v="F413"/>
    <x v="5"/>
    <x v="2"/>
    <x v="3"/>
    <x v="0"/>
    <x v="0"/>
    <n v="310"/>
    <x v="17"/>
    <x v="8"/>
    <x v="2"/>
  </r>
  <r>
    <s v="F414"/>
    <x v="3"/>
    <x v="1"/>
    <x v="2"/>
    <x v="1"/>
    <x v="8"/>
    <n v="234"/>
    <x v="17"/>
    <x v="5"/>
    <x v="0"/>
  </r>
  <r>
    <s v="F416"/>
    <x v="0"/>
    <x v="0"/>
    <x v="8"/>
    <x v="2"/>
    <x v="10"/>
    <n v="341"/>
    <x v="20"/>
    <x v="8"/>
    <x v="2"/>
  </r>
  <r>
    <s v="F417"/>
    <x v="8"/>
    <x v="0"/>
    <x v="2"/>
    <x v="2"/>
    <x v="9"/>
    <n v="329"/>
    <x v="24"/>
    <x v="3"/>
    <x v="2"/>
  </r>
  <r>
    <s v="F418"/>
    <x v="1"/>
    <x v="1"/>
    <x v="8"/>
    <x v="2"/>
    <x v="8"/>
    <n v="95"/>
    <x v="8"/>
    <x v="6"/>
    <x v="1"/>
  </r>
  <r>
    <s v="F420"/>
    <x v="1"/>
    <x v="1"/>
    <x v="7"/>
    <x v="0"/>
    <x v="1"/>
    <n v="350"/>
    <x v="18"/>
    <x v="6"/>
    <x v="2"/>
  </r>
  <r>
    <s v="F421"/>
    <x v="6"/>
    <x v="1"/>
    <x v="8"/>
    <x v="1"/>
    <x v="2"/>
    <n v="112"/>
    <x v="14"/>
    <x v="5"/>
    <x v="0"/>
  </r>
  <r>
    <s v="F422"/>
    <x v="2"/>
    <x v="2"/>
    <x v="7"/>
    <x v="2"/>
    <x v="3"/>
    <n v="384"/>
    <x v="4"/>
    <x v="6"/>
    <x v="2"/>
  </r>
  <r>
    <s v="F423"/>
    <x v="1"/>
    <x v="1"/>
    <x v="7"/>
    <x v="1"/>
    <x v="2"/>
    <n v="137"/>
    <x v="10"/>
    <x v="9"/>
    <x v="0"/>
  </r>
  <r>
    <s v="F424"/>
    <x v="1"/>
    <x v="1"/>
    <x v="0"/>
    <x v="0"/>
    <x v="1"/>
    <n v="111"/>
    <x v="12"/>
    <x v="0"/>
    <x v="0"/>
  </r>
  <r>
    <s v="F425"/>
    <x v="2"/>
    <x v="2"/>
    <x v="9"/>
    <x v="1"/>
    <x v="8"/>
    <n v="328"/>
    <x v="5"/>
    <x v="0"/>
    <x v="2"/>
  </r>
  <r>
    <s v="F426"/>
    <x v="6"/>
    <x v="1"/>
    <x v="1"/>
    <x v="1"/>
    <x v="3"/>
    <n v="301"/>
    <x v="7"/>
    <x v="8"/>
    <x v="2"/>
  </r>
  <r>
    <s v="F427"/>
    <x v="3"/>
    <x v="1"/>
    <x v="8"/>
    <x v="0"/>
    <x v="3"/>
    <n v="105"/>
    <x v="19"/>
    <x v="7"/>
    <x v="0"/>
  </r>
  <r>
    <s v="F429"/>
    <x v="5"/>
    <x v="2"/>
    <x v="2"/>
    <x v="2"/>
    <x v="0"/>
    <n v="413"/>
    <x v="12"/>
    <x v="0"/>
    <x v="2"/>
  </r>
  <r>
    <s v="F430"/>
    <x v="8"/>
    <x v="0"/>
    <x v="5"/>
    <x v="1"/>
    <x v="6"/>
    <n v="144"/>
    <x v="2"/>
    <x v="3"/>
    <x v="0"/>
  </r>
  <r>
    <s v="F431"/>
    <x v="2"/>
    <x v="2"/>
    <x v="8"/>
    <x v="0"/>
    <x v="8"/>
    <n v="276"/>
    <x v="10"/>
    <x v="2"/>
    <x v="0"/>
  </r>
  <r>
    <s v="F432"/>
    <x v="6"/>
    <x v="1"/>
    <x v="8"/>
    <x v="0"/>
    <x v="2"/>
    <n v="321"/>
    <x v="20"/>
    <x v="6"/>
    <x v="2"/>
  </r>
  <r>
    <s v="F433"/>
    <x v="0"/>
    <x v="0"/>
    <x v="1"/>
    <x v="2"/>
    <x v="5"/>
    <n v="222"/>
    <x v="7"/>
    <x v="9"/>
    <x v="0"/>
  </r>
  <r>
    <s v="F434"/>
    <x v="6"/>
    <x v="1"/>
    <x v="3"/>
    <x v="2"/>
    <x v="2"/>
    <n v="47"/>
    <x v="2"/>
    <x v="6"/>
    <x v="1"/>
  </r>
  <r>
    <s v="F435"/>
    <x v="7"/>
    <x v="2"/>
    <x v="1"/>
    <x v="0"/>
    <x v="8"/>
    <n v="369"/>
    <x v="22"/>
    <x v="6"/>
    <x v="2"/>
  </r>
  <r>
    <s v="F436"/>
    <x v="5"/>
    <x v="2"/>
    <x v="4"/>
    <x v="2"/>
    <x v="8"/>
    <n v="445"/>
    <x v="0"/>
    <x v="6"/>
    <x v="2"/>
  </r>
  <r>
    <s v="F437"/>
    <x v="7"/>
    <x v="2"/>
    <x v="0"/>
    <x v="1"/>
    <x v="3"/>
    <n v="551"/>
    <x v="22"/>
    <x v="7"/>
    <x v="2"/>
  </r>
  <r>
    <s v="F438"/>
    <x v="0"/>
    <x v="0"/>
    <x v="8"/>
    <x v="2"/>
    <x v="5"/>
    <n v="299"/>
    <x v="9"/>
    <x v="3"/>
    <x v="0"/>
  </r>
  <r>
    <s v="F439"/>
    <x v="5"/>
    <x v="2"/>
    <x v="8"/>
    <x v="2"/>
    <x v="11"/>
    <n v="334"/>
    <x v="21"/>
    <x v="9"/>
    <x v="2"/>
  </r>
  <r>
    <s v="F440"/>
    <x v="8"/>
    <x v="0"/>
    <x v="0"/>
    <x v="2"/>
    <x v="4"/>
    <n v="199"/>
    <x v="13"/>
    <x v="0"/>
    <x v="0"/>
  </r>
  <r>
    <s v="F441"/>
    <x v="0"/>
    <x v="0"/>
    <x v="0"/>
    <x v="1"/>
    <x v="5"/>
    <n v="147"/>
    <x v="17"/>
    <x v="4"/>
    <x v="0"/>
  </r>
  <r>
    <s v="F442"/>
    <x v="6"/>
    <x v="1"/>
    <x v="0"/>
    <x v="1"/>
    <x v="0"/>
    <n v="61"/>
    <x v="12"/>
    <x v="2"/>
    <x v="1"/>
  </r>
  <r>
    <s v="F443"/>
    <x v="8"/>
    <x v="0"/>
    <x v="3"/>
    <x v="1"/>
    <x v="0"/>
    <n v="125"/>
    <x v="2"/>
    <x v="0"/>
    <x v="0"/>
  </r>
  <r>
    <s v="F444"/>
    <x v="0"/>
    <x v="0"/>
    <x v="4"/>
    <x v="2"/>
    <x v="7"/>
    <n v="150"/>
    <x v="20"/>
    <x v="3"/>
    <x v="0"/>
  </r>
  <r>
    <s v="F445"/>
    <x v="8"/>
    <x v="0"/>
    <x v="1"/>
    <x v="0"/>
    <x v="4"/>
    <n v="164"/>
    <x v="13"/>
    <x v="1"/>
    <x v="0"/>
  </r>
  <r>
    <s v="F446"/>
    <x v="8"/>
    <x v="0"/>
    <x v="5"/>
    <x v="0"/>
    <x v="4"/>
    <n v="191"/>
    <x v="1"/>
    <x v="0"/>
    <x v="0"/>
  </r>
  <r>
    <s v="F447"/>
    <x v="8"/>
    <x v="0"/>
    <x v="1"/>
    <x v="0"/>
    <x v="10"/>
    <n v="259"/>
    <x v="16"/>
    <x v="9"/>
    <x v="0"/>
  </r>
  <r>
    <s v="F448"/>
    <x v="8"/>
    <x v="0"/>
    <x v="6"/>
    <x v="2"/>
    <x v="4"/>
    <n v="207"/>
    <x v="4"/>
    <x v="8"/>
    <x v="0"/>
  </r>
  <r>
    <s v="F450"/>
    <x v="1"/>
    <x v="1"/>
    <x v="6"/>
    <x v="0"/>
    <x v="1"/>
    <n v="330"/>
    <x v="25"/>
    <x v="1"/>
    <x v="2"/>
  </r>
  <r>
    <s v="F451"/>
    <x v="6"/>
    <x v="1"/>
    <x v="5"/>
    <x v="1"/>
    <x v="8"/>
    <n v="326"/>
    <x v="17"/>
    <x v="4"/>
    <x v="2"/>
  </r>
  <r>
    <s v="F452"/>
    <x v="4"/>
    <x v="0"/>
    <x v="4"/>
    <x v="2"/>
    <x v="2"/>
    <n v="295"/>
    <x v="6"/>
    <x v="3"/>
    <x v="0"/>
  </r>
  <r>
    <s v="F453"/>
    <x v="6"/>
    <x v="1"/>
    <x v="1"/>
    <x v="1"/>
    <x v="2"/>
    <n v="7"/>
    <x v="14"/>
    <x v="7"/>
    <x v="1"/>
  </r>
  <r>
    <s v="F454"/>
    <x v="4"/>
    <x v="0"/>
    <x v="5"/>
    <x v="0"/>
    <x v="0"/>
    <n v="336"/>
    <x v="10"/>
    <x v="2"/>
    <x v="2"/>
  </r>
  <r>
    <s v="F455"/>
    <x v="3"/>
    <x v="1"/>
    <x v="1"/>
    <x v="0"/>
    <x v="2"/>
    <n v="315"/>
    <x v="11"/>
    <x v="0"/>
    <x v="2"/>
  </r>
  <r>
    <s v="F456"/>
    <x v="5"/>
    <x v="2"/>
    <x v="1"/>
    <x v="0"/>
    <x v="0"/>
    <n v="563"/>
    <x v="11"/>
    <x v="9"/>
    <x v="2"/>
  </r>
  <r>
    <s v="F457"/>
    <x v="3"/>
    <x v="1"/>
    <x v="2"/>
    <x v="0"/>
    <x v="0"/>
    <n v="332"/>
    <x v="7"/>
    <x v="0"/>
    <x v="2"/>
  </r>
  <r>
    <s v="F458"/>
    <x v="5"/>
    <x v="2"/>
    <x v="5"/>
    <x v="0"/>
    <x v="0"/>
    <n v="272"/>
    <x v="25"/>
    <x v="0"/>
    <x v="0"/>
  </r>
  <r>
    <s v="F459"/>
    <x v="3"/>
    <x v="1"/>
    <x v="1"/>
    <x v="2"/>
    <x v="2"/>
    <n v="28"/>
    <x v="8"/>
    <x v="3"/>
    <x v="1"/>
  </r>
  <r>
    <s v="F460"/>
    <x v="0"/>
    <x v="0"/>
    <x v="0"/>
    <x v="0"/>
    <x v="2"/>
    <n v="85"/>
    <x v="11"/>
    <x v="9"/>
    <x v="1"/>
  </r>
  <r>
    <s v="F461"/>
    <x v="1"/>
    <x v="1"/>
    <x v="7"/>
    <x v="0"/>
    <x v="8"/>
    <n v="190"/>
    <x v="0"/>
    <x v="5"/>
    <x v="0"/>
  </r>
  <r>
    <s v="F462"/>
    <x v="0"/>
    <x v="0"/>
    <x v="0"/>
    <x v="2"/>
    <x v="10"/>
    <n v="219"/>
    <x v="23"/>
    <x v="5"/>
    <x v="0"/>
  </r>
  <r>
    <s v="F464"/>
    <x v="8"/>
    <x v="0"/>
    <x v="4"/>
    <x v="1"/>
    <x v="0"/>
    <n v="132"/>
    <x v="5"/>
    <x v="0"/>
    <x v="0"/>
  </r>
  <r>
    <s v="F465"/>
    <x v="2"/>
    <x v="2"/>
    <x v="7"/>
    <x v="1"/>
    <x v="11"/>
    <n v="591"/>
    <x v="3"/>
    <x v="7"/>
    <x v="2"/>
  </r>
  <r>
    <s v="F466"/>
    <x v="6"/>
    <x v="1"/>
    <x v="4"/>
    <x v="2"/>
    <x v="9"/>
    <n v="91"/>
    <x v="15"/>
    <x v="7"/>
    <x v="1"/>
  </r>
  <r>
    <s v="F467"/>
    <x v="1"/>
    <x v="1"/>
    <x v="5"/>
    <x v="1"/>
    <x v="8"/>
    <n v="213"/>
    <x v="15"/>
    <x v="9"/>
    <x v="0"/>
  </r>
  <r>
    <s v="F468"/>
    <x v="5"/>
    <x v="2"/>
    <x v="1"/>
    <x v="0"/>
    <x v="8"/>
    <n v="407"/>
    <x v="7"/>
    <x v="7"/>
    <x v="2"/>
  </r>
  <r>
    <s v="F469"/>
    <x v="8"/>
    <x v="0"/>
    <x v="6"/>
    <x v="0"/>
    <x v="6"/>
    <n v="285"/>
    <x v="1"/>
    <x v="6"/>
    <x v="0"/>
  </r>
  <r>
    <s v="F470"/>
    <x v="5"/>
    <x v="2"/>
    <x v="9"/>
    <x v="2"/>
    <x v="11"/>
    <n v="383"/>
    <x v="3"/>
    <x v="1"/>
    <x v="2"/>
  </r>
  <r>
    <s v="F471"/>
    <x v="5"/>
    <x v="2"/>
    <x v="2"/>
    <x v="2"/>
    <x v="2"/>
    <n v="274"/>
    <x v="18"/>
    <x v="8"/>
    <x v="0"/>
  </r>
  <r>
    <s v="F472"/>
    <x v="6"/>
    <x v="1"/>
    <x v="6"/>
    <x v="0"/>
    <x v="9"/>
    <n v="125"/>
    <x v="11"/>
    <x v="2"/>
    <x v="0"/>
  </r>
  <r>
    <s v="F473"/>
    <x v="4"/>
    <x v="0"/>
    <x v="6"/>
    <x v="0"/>
    <x v="9"/>
    <n v="84"/>
    <x v="16"/>
    <x v="7"/>
    <x v="1"/>
  </r>
  <r>
    <s v="F474"/>
    <x v="3"/>
    <x v="1"/>
    <x v="9"/>
    <x v="1"/>
    <x v="3"/>
    <n v="121"/>
    <x v="20"/>
    <x v="7"/>
    <x v="0"/>
  </r>
  <r>
    <s v="F475"/>
    <x v="8"/>
    <x v="0"/>
    <x v="9"/>
    <x v="1"/>
    <x v="1"/>
    <n v="198"/>
    <x v="5"/>
    <x v="4"/>
    <x v="0"/>
  </r>
  <r>
    <s v="F476"/>
    <x v="3"/>
    <x v="1"/>
    <x v="4"/>
    <x v="2"/>
    <x v="5"/>
    <n v="43"/>
    <x v="17"/>
    <x v="4"/>
    <x v="1"/>
  </r>
  <r>
    <s v="F477"/>
    <x v="8"/>
    <x v="0"/>
    <x v="5"/>
    <x v="1"/>
    <x v="4"/>
    <n v="111"/>
    <x v="13"/>
    <x v="3"/>
    <x v="0"/>
  </r>
  <r>
    <s v="F478"/>
    <x v="2"/>
    <x v="2"/>
    <x v="9"/>
    <x v="2"/>
    <x v="2"/>
    <n v="560"/>
    <x v="20"/>
    <x v="9"/>
    <x v="2"/>
  </r>
  <r>
    <s v="F479"/>
    <x v="7"/>
    <x v="2"/>
    <x v="3"/>
    <x v="2"/>
    <x v="3"/>
    <n v="253"/>
    <x v="0"/>
    <x v="8"/>
    <x v="0"/>
  </r>
  <r>
    <s v="F480"/>
    <x v="0"/>
    <x v="0"/>
    <x v="8"/>
    <x v="1"/>
    <x v="2"/>
    <n v="318"/>
    <x v="8"/>
    <x v="0"/>
    <x v="2"/>
  </r>
  <r>
    <s v="F481"/>
    <x v="1"/>
    <x v="1"/>
    <x v="4"/>
    <x v="1"/>
    <x v="1"/>
    <n v="237"/>
    <x v="14"/>
    <x v="0"/>
    <x v="0"/>
  </r>
  <r>
    <s v="F482"/>
    <x v="0"/>
    <x v="0"/>
    <x v="8"/>
    <x v="0"/>
    <x v="0"/>
    <n v="100"/>
    <x v="9"/>
    <x v="9"/>
    <x v="1"/>
  </r>
  <r>
    <s v="F483"/>
    <x v="8"/>
    <x v="0"/>
    <x v="1"/>
    <x v="0"/>
    <x v="0"/>
    <n v="262"/>
    <x v="20"/>
    <x v="7"/>
    <x v="0"/>
  </r>
  <r>
    <s v="F484"/>
    <x v="5"/>
    <x v="2"/>
    <x v="9"/>
    <x v="1"/>
    <x v="11"/>
    <n v="357"/>
    <x v="22"/>
    <x v="4"/>
    <x v="2"/>
  </r>
  <r>
    <s v="F485"/>
    <x v="1"/>
    <x v="1"/>
    <x v="6"/>
    <x v="1"/>
    <x v="1"/>
    <n v="71"/>
    <x v="0"/>
    <x v="7"/>
    <x v="1"/>
  </r>
  <r>
    <s v="F486"/>
    <x v="2"/>
    <x v="2"/>
    <x v="8"/>
    <x v="1"/>
    <x v="2"/>
    <n v="340"/>
    <x v="7"/>
    <x v="0"/>
    <x v="2"/>
  </r>
  <r>
    <s v="F488"/>
    <x v="2"/>
    <x v="2"/>
    <x v="3"/>
    <x v="1"/>
    <x v="11"/>
    <n v="583"/>
    <x v="22"/>
    <x v="9"/>
    <x v="2"/>
  </r>
  <r>
    <s v="F489"/>
    <x v="0"/>
    <x v="0"/>
    <x v="0"/>
    <x v="2"/>
    <x v="1"/>
    <n v="301"/>
    <x v="22"/>
    <x v="2"/>
    <x v="2"/>
  </r>
  <r>
    <s v="F490"/>
    <x v="6"/>
    <x v="1"/>
    <x v="0"/>
    <x v="2"/>
    <x v="0"/>
    <n v="88"/>
    <x v="6"/>
    <x v="3"/>
    <x v="1"/>
  </r>
  <r>
    <s v="F491"/>
    <x v="5"/>
    <x v="2"/>
    <x v="9"/>
    <x v="2"/>
    <x v="2"/>
    <n v="167"/>
    <x v="17"/>
    <x v="8"/>
    <x v="0"/>
  </r>
  <r>
    <s v="F492"/>
    <x v="2"/>
    <x v="2"/>
    <x v="9"/>
    <x v="2"/>
    <x v="8"/>
    <n v="431"/>
    <x v="18"/>
    <x v="0"/>
    <x v="2"/>
  </r>
  <r>
    <s v="F493"/>
    <x v="5"/>
    <x v="2"/>
    <x v="5"/>
    <x v="1"/>
    <x v="8"/>
    <n v="479"/>
    <x v="5"/>
    <x v="4"/>
    <x v="2"/>
  </r>
  <r>
    <s v="F494"/>
    <x v="2"/>
    <x v="2"/>
    <x v="7"/>
    <x v="1"/>
    <x v="0"/>
    <n v="550"/>
    <x v="2"/>
    <x v="6"/>
    <x v="2"/>
  </r>
  <r>
    <s v="F495"/>
    <x v="1"/>
    <x v="1"/>
    <x v="3"/>
    <x v="2"/>
    <x v="9"/>
    <n v="257"/>
    <x v="8"/>
    <x v="5"/>
    <x v="0"/>
  </r>
  <r>
    <s v="F496"/>
    <x v="8"/>
    <x v="0"/>
    <x v="0"/>
    <x v="2"/>
    <x v="4"/>
    <n v="95"/>
    <x v="5"/>
    <x v="5"/>
    <x v="1"/>
  </r>
  <r>
    <s v="F497"/>
    <x v="4"/>
    <x v="0"/>
    <x v="3"/>
    <x v="0"/>
    <x v="9"/>
    <n v="199"/>
    <x v="16"/>
    <x v="0"/>
    <x v="0"/>
  </r>
  <r>
    <s v="F498"/>
    <x v="2"/>
    <x v="2"/>
    <x v="6"/>
    <x v="2"/>
    <x v="1"/>
    <n v="555"/>
    <x v="15"/>
    <x v="7"/>
    <x v="2"/>
  </r>
  <r>
    <s v="F499"/>
    <x v="2"/>
    <x v="2"/>
    <x v="2"/>
    <x v="2"/>
    <x v="8"/>
    <n v="579"/>
    <x v="12"/>
    <x v="3"/>
    <x v="2"/>
  </r>
  <r>
    <s v="F500"/>
    <x v="8"/>
    <x v="0"/>
    <x v="6"/>
    <x v="0"/>
    <x v="9"/>
    <n v="263"/>
    <x v="15"/>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9CEFA8-4DA9-41BF-8749-ED205CDE7B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H2" firstHeaderRow="1" firstDataRow="1" firstDataCol="0"/>
  <pivotFields count="1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s>
  <rowItems count="1">
    <i/>
  </rowItems>
  <colItems count="1">
    <i/>
  </colItems>
  <dataFields count="1">
    <dataField name="Average of Rating" fld="7" subtotal="average" baseField="0" baseItem="0"/>
  </dataField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10678-F431-41F0-96FF-419BCBDB7BB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fieldListSortAscending="1">
  <location ref="A12:B16" firstHeaderRow="1" firstDataRow="1" firstDataCol="1"/>
  <pivotFields count="10">
    <pivotField showAll="0"/>
    <pivotField showAll="0"/>
    <pivotField axis="axisRow" showAll="0">
      <items count="5">
        <item m="1" x="3"/>
        <item x="1"/>
        <item x="2"/>
        <item x="0"/>
        <item t="default"/>
      </items>
    </pivotField>
    <pivotField showAll="0"/>
    <pivotField showAll="0">
      <items count="4">
        <item x="1"/>
        <item x="2"/>
        <item x="0"/>
        <item t="default"/>
      </items>
    </pivotField>
    <pivotField dataField="1" showAll="0"/>
    <pivotField showAll="0"/>
    <pivotField showAll="0"/>
    <pivotField showAll="0"/>
    <pivotField showAll="0"/>
  </pivotFields>
  <rowFields count="1">
    <field x="2"/>
  </rowFields>
  <rowItems count="4">
    <i>
      <x v="1"/>
    </i>
    <i>
      <x v="2"/>
    </i>
    <i>
      <x v="3"/>
    </i>
    <i t="grand">
      <x/>
    </i>
  </rowItems>
  <colItems count="1">
    <i/>
  </colItems>
  <dataFields count="1">
    <dataField name="Max of Price (USD)" fld="5" subtotal="max" baseField="0" baseItem="0" numFmtId="164"/>
  </dataFields>
  <formats count="2">
    <format dxfId="4">
      <pivotArea dataOnly="0" labelOnly="1" outline="0" axis="axisValues" fieldPosition="0"/>
    </format>
    <format dxfId="3">
      <pivotArea outline="0" collapsedLevelsAreSubtotals="1" fieldPosition="0"/>
    </format>
  </format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2">
          <reference field="4294967294" count="1" selected="0">
            <x v="0"/>
          </reference>
          <reference field="2" count="1" selected="0">
            <x v="2"/>
          </reference>
        </references>
      </pivotArea>
    </chartFormat>
    <chartFormat chart="4" format="7">
      <pivotArea type="data" outline="0" fieldPosition="0">
        <references count="2">
          <reference field="4294967294" count="1" selected="0">
            <x v="0"/>
          </reference>
          <reference field="2" count="1" selected="0">
            <x v="3"/>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3CE44-57DE-4EC2-9618-F4E557602D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20:B30" firstHeaderRow="1" firstDataRow="1" firstDataCol="1"/>
  <pivotFields count="10">
    <pivotField showAll="0"/>
    <pivotField axis="axisRow" showAll="0" sortType="ascending">
      <items count="10">
        <item x="0"/>
        <item x="5"/>
        <item x="6"/>
        <item x="1"/>
        <item x="8"/>
        <item x="3"/>
        <item x="7"/>
        <item x="2"/>
        <item x="4"/>
        <item t="default"/>
      </items>
      <autoSortScope>
        <pivotArea dataOnly="0" outline="0" fieldPosition="0">
          <references count="1">
            <reference field="4294967294" count="1" selected="0">
              <x v="0"/>
            </reference>
          </references>
        </pivotArea>
      </autoSortScope>
    </pivotField>
    <pivotField showAll="0">
      <items count="5">
        <item m="1" x="3"/>
        <item x="1"/>
        <item x="2"/>
        <item x="0"/>
        <item t="default"/>
      </items>
    </pivotField>
    <pivotField showAll="0"/>
    <pivotField showAll="0">
      <items count="4">
        <item x="1"/>
        <item x="2"/>
        <item x="0"/>
        <item t="default"/>
      </items>
    </pivotField>
    <pivotField showAll="0"/>
    <pivotField showAll="0"/>
    <pivotField dataField="1" showAll="0"/>
    <pivotField showAll="0"/>
    <pivotField showAll="0"/>
  </pivotFields>
  <rowFields count="1">
    <field x="1"/>
  </rowFields>
  <rowItems count="10">
    <i>
      <x v="2"/>
    </i>
    <i>
      <x v="1"/>
    </i>
    <i>
      <x v="3"/>
    </i>
    <i>
      <x v="5"/>
    </i>
    <i>
      <x/>
    </i>
    <i>
      <x v="7"/>
    </i>
    <i>
      <x v="8"/>
    </i>
    <i>
      <x v="6"/>
    </i>
    <i>
      <x v="4"/>
    </i>
    <i t="grand">
      <x/>
    </i>
  </rowItems>
  <colItems count="1">
    <i/>
  </colItems>
  <dataFields count="1">
    <dataField name="Average of Rating" fld="7" subtotal="average" baseField="0" baseItem="0" numFmtId="2"/>
  </dataFields>
  <formats count="5">
    <format dxfId="9">
      <pivotArea type="all" dataOnly="0" outline="0" fieldPosition="0"/>
    </format>
    <format dxfId="8">
      <pivotArea field="2" type="button" dataOnly="0" labelOnly="1" outline="0"/>
    </format>
    <format dxfId="7">
      <pivotArea dataOnly="0" labelOnly="1" grandRow="1" outline="0" fieldPosition="0"/>
    </format>
    <format dxfId="6">
      <pivotArea dataOnly="0" labelOnly="1" outline="0" axis="axisValues" fieldPosition="0"/>
    </format>
    <format dxfId="5">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4F087F-07C3-4D96-A06F-EDC86CCDE96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fieldListSortAscending="1">
  <location ref="E26:F31" firstHeaderRow="1" firstDataRow="1" firstDataCol="1"/>
  <pivotFields count="10">
    <pivotField showAll="0"/>
    <pivotField axis="axisRow" showAll="0" measureFilter="1">
      <items count="10">
        <item x="0"/>
        <item x="5"/>
        <item x="6"/>
        <item x="1"/>
        <item x="8"/>
        <item x="3"/>
        <item x="7"/>
        <item x="2"/>
        <item x="4"/>
        <item t="default"/>
      </items>
    </pivotField>
    <pivotField showAll="0"/>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5">
    <i>
      <x/>
    </i>
    <i>
      <x v="1"/>
    </i>
    <i>
      <x v="3"/>
    </i>
    <i>
      <x v="4"/>
    </i>
    <i>
      <x v="6"/>
    </i>
  </rowItems>
  <colItems count="1">
    <i/>
  </colItems>
  <dataFields count="1">
    <dataField name="Average of Popularity_Score" fld="8" subtotal="average" baseField="0" baseItem="0" numFmtId="165"/>
  </dataFields>
  <formats count="3">
    <format dxfId="12">
      <pivotArea dataOnly="0" labelOnly="1" outline="0" axis="axisValues" fieldPosition="0"/>
    </format>
    <format dxfId="11">
      <pivotArea collapsedLevelsAreSubtotals="1" fieldPosition="0">
        <references count="1">
          <reference field="1" count="0"/>
        </references>
      </pivotArea>
    </format>
    <format dxfId="10">
      <pivotArea outline="0" collapsedLevelsAreSubtotals="1" fieldPosition="0"/>
    </format>
  </formats>
  <chartFormats count="4">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6"/>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92A51-21EE-4C8C-B178-D6E5CDD16C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I12:K22" firstHeaderRow="0" firstDataRow="1" firstDataCol="1"/>
  <pivotFields count="10">
    <pivotField showAll="0"/>
    <pivotField axis="axisRow" showAll="0">
      <items count="10">
        <item x="0"/>
        <item x="5"/>
        <item x="6"/>
        <item x="1"/>
        <item x="8"/>
        <item x="3"/>
        <item x="7"/>
        <item x="2"/>
        <item x="4"/>
        <item t="default"/>
      </items>
    </pivotField>
    <pivotField showAll="0"/>
    <pivotField showAll="0"/>
    <pivotField showAll="0">
      <items count="4">
        <item x="1"/>
        <item x="2"/>
        <item x="0"/>
        <item t="default"/>
      </items>
    </pivotField>
    <pivotField showAll="0"/>
    <pivotField dataField="1" showAll="0"/>
    <pivotField showAll="0"/>
    <pivotField dataField="1"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Average of Calories" fld="6" subtotal="average" baseField="0" baseItem="0" numFmtId="1"/>
    <dataField name="Average of Popularity_Score" fld="8" subtotal="average" baseField="0" baseItem="0"/>
  </dataFields>
  <formats count="2">
    <format dxfId="14">
      <pivotArea dataOnly="0" labelOnly="1" outline="0" axis="axisValues" fieldPosition="0"/>
    </format>
    <format dxfId="13">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9E6BA-4975-42B8-AD04-3BDECC2F99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10">
    <pivotField dataField="1" showAll="0"/>
    <pivotField showAll="0"/>
    <pivotField showAll="0"/>
    <pivotField showAll="0"/>
    <pivotField showAll="0">
      <items count="4">
        <item x="1"/>
        <item x="2"/>
        <item x="0"/>
        <item t="default"/>
      </items>
    </pivotField>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C9F488-1B67-4EE5-BAD0-C7162AF3551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fieldListSortAscending="1">
  <location ref="E12:F23" firstHeaderRow="1" firstDataRow="1" firstDataCol="1"/>
  <pivotFields count="10">
    <pivotField showAll="0"/>
    <pivotField dataField="1" showAll="0"/>
    <pivotField showAll="0"/>
    <pivotField axis="axisRow" showAll="0" sortType="ascending">
      <items count="11">
        <item x="0"/>
        <item x="1"/>
        <item x="6"/>
        <item x="9"/>
        <item x="4"/>
        <item x="5"/>
        <item x="3"/>
        <item x="8"/>
        <item x="7"/>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s>
  <rowFields count="1">
    <field x="3"/>
  </rowFields>
  <rowItems count="11">
    <i>
      <x v="2"/>
    </i>
    <i>
      <x v="7"/>
    </i>
    <i>
      <x v="9"/>
    </i>
    <i>
      <x v="8"/>
    </i>
    <i>
      <x/>
    </i>
    <i>
      <x v="1"/>
    </i>
    <i>
      <x v="5"/>
    </i>
    <i>
      <x v="4"/>
    </i>
    <i>
      <x v="3"/>
    </i>
    <i>
      <x v="6"/>
    </i>
    <i t="grand">
      <x/>
    </i>
  </rowItems>
  <colItems count="1">
    <i/>
  </colItems>
  <dataFields count="1">
    <dataField name="Count of Item" fld="1" subtotal="count" baseField="0" baseItem="0"/>
  </dataFields>
  <formats count="2">
    <format dxfId="16">
      <pivotArea outline="0" collapsedLevelsAreSubtotals="1" fieldPosition="0"/>
    </format>
    <format dxfId="15">
      <pivotArea dataOnly="0" labelOnly="1" outline="0" axis="axisValues" fieldPosition="0"/>
    </format>
  </format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6"/>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9" format="5">
      <pivotArea type="data" outline="0" fieldPosition="0">
        <references count="2">
          <reference field="4294967294" count="1" selected="0">
            <x v="0"/>
          </reference>
          <reference field="3" count="1" selected="0">
            <x v="4"/>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52CF99-5068-40DE-85CF-5128F6B34B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1:C2" firstHeaderRow="1" firstDataRow="1" firstDataCol="0"/>
  <pivotFields count="10">
    <pivotField showAll="0"/>
    <pivotField showAll="0"/>
    <pivotField showAll="0"/>
    <pivotField showAll="0"/>
    <pivotField showAll="0">
      <items count="4">
        <item x="1"/>
        <item x="2"/>
        <item x="0"/>
        <item t="default"/>
      </items>
    </pivotField>
    <pivotField showAll="0"/>
    <pivotField dataField="1" showAll="0"/>
    <pivotField showAll="0"/>
    <pivotField showAll="0"/>
    <pivotField showAll="0"/>
  </pivotFields>
  <rowItems count="1">
    <i/>
  </rowItems>
  <colItems count="1">
    <i/>
  </colItems>
  <dataFields count="1">
    <dataField name="Average of Calories" fld="6" subtotal="average" baseField="0" baseItem="0" numFmtId="1"/>
  </dataFields>
  <formats count="1">
    <format dxfId="17">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841073-99BA-413A-AD0A-3BC9CFCA81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F1:F2" firstHeaderRow="1" firstDataRow="1" firstDataCol="0"/>
  <pivotFields count="10">
    <pivotField showAll="0"/>
    <pivotField showAll="0"/>
    <pivotField showAll="0"/>
    <pivotField showAll="0"/>
    <pivotField showAll="0">
      <items count="4">
        <item x="1"/>
        <item x="2"/>
        <item x="0"/>
        <item t="default"/>
      </items>
    </pivotField>
    <pivotField showAll="0"/>
    <pivotField showAll="0"/>
    <pivotField showAll="0"/>
    <pivotField dataField="1" showAll="0"/>
    <pivotField showAll="0"/>
  </pivotFields>
  <rowItems count="1">
    <i/>
  </rowItems>
  <colItems count="1">
    <i/>
  </colItems>
  <dataFields count="1">
    <dataField name="Average of Popularity_Score" fld="8" subtotal="average" baseField="0" baseItem="0" numFmtId="165"/>
  </dataFields>
  <formats count="1">
    <format dxfId="18">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1451A7-9F08-49A6-8890-218BF5920CE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fieldListSortAscending="1">
  <location ref="A5:B14" firstHeaderRow="1" firstDataRow="1" firstDataCol="1"/>
  <pivotFields count="10">
    <pivotField showAll="0"/>
    <pivotField axis="axisRow" showAll="0" sortType="ascending">
      <items count="10">
        <item x="0"/>
        <item x="5"/>
        <item x="6"/>
        <item x="1"/>
        <item x="8"/>
        <item x="3"/>
        <item x="7"/>
        <item x="2"/>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dataField="1" showAll="0"/>
    <pivotField showAll="0"/>
    <pivotField showAll="0"/>
    <pivotField showAll="0"/>
    <pivotField showAll="0"/>
  </pivotFields>
  <rowFields count="1">
    <field x="1"/>
  </rowFields>
  <rowItems count="9">
    <i>
      <x v="7"/>
    </i>
    <i>
      <x v="6"/>
    </i>
    <i>
      <x v="1"/>
    </i>
    <i>
      <x v="3"/>
    </i>
    <i>
      <x v="5"/>
    </i>
    <i>
      <x v="2"/>
    </i>
    <i>
      <x v="8"/>
    </i>
    <i>
      <x/>
    </i>
    <i>
      <x v="4"/>
    </i>
  </rowItems>
  <colItems count="1">
    <i/>
  </colItems>
  <dataFields count="1">
    <dataField name="Average of Price (USD)" fld="5" subtotal="average" baseField="0" baseItem="0" numFmtId="164"/>
  </dataFields>
  <formats count="3">
    <format dxfId="21">
      <pivotArea dataOnly="0" labelOnly="1" outline="0" axis="axisValues" fieldPosition="0"/>
    </format>
    <format dxfId="20">
      <pivotArea collapsedLevelsAreSubtotals="1" fieldPosition="0">
        <references count="1">
          <reference field="1" count="0"/>
        </references>
      </pivotArea>
    </format>
    <format dxfId="19">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4"/>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65DCC1-733E-4A20-A1DC-A22B23A0DE85}"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E5:G14" firstHeaderRow="0" firstDataRow="1" firstDataCol="1"/>
  <pivotFields count="10">
    <pivotField showAll="0"/>
    <pivotField axis="axisRow" showAll="0">
      <items count="10">
        <item x="0"/>
        <item x="5"/>
        <item x="6"/>
        <item x="1"/>
        <item x="8"/>
        <item x="3"/>
        <item x="7"/>
        <item x="2"/>
        <item x="4"/>
        <item t="default"/>
      </items>
    </pivotField>
    <pivotField showAll="0"/>
    <pivotField showAll="0"/>
    <pivotField showAll="0">
      <items count="4">
        <item x="1"/>
        <item x="2"/>
        <item x="0"/>
        <item t="default"/>
      </items>
    </pivotField>
    <pivotField dataField="1" showAll="0"/>
    <pivotField showAll="0"/>
    <pivotField showAll="0"/>
    <pivotField dataField="1" showAll="0"/>
    <pivotField showAll="0"/>
  </pivotFields>
  <rowFields count="1">
    <field x="1"/>
  </rowFields>
  <rowItems count="9">
    <i>
      <x/>
    </i>
    <i>
      <x v="1"/>
    </i>
    <i>
      <x v="2"/>
    </i>
    <i>
      <x v="3"/>
    </i>
    <i>
      <x v="4"/>
    </i>
    <i>
      <x v="5"/>
    </i>
    <i>
      <x v="6"/>
    </i>
    <i>
      <x v="7"/>
    </i>
    <i>
      <x v="8"/>
    </i>
  </rowItems>
  <colFields count="1">
    <field x="-2"/>
  </colFields>
  <colItems count="2">
    <i>
      <x/>
    </i>
    <i i="1">
      <x v="1"/>
    </i>
  </colItems>
  <dataFields count="2">
    <dataField name="Max of Price (USD)" fld="5" subtotal="max" baseField="0" baseItem="0" numFmtId="1"/>
    <dataField name="Sum of Popularity_Score" fld="8" baseField="0" baseItem="0"/>
  </dataFields>
  <formats count="3">
    <format dxfId="24">
      <pivotArea dataOnly="0" labelOnly="1" outline="0" axis="axisValues" fieldPosition="0"/>
    </format>
    <format dxfId="23">
      <pivotArea collapsedLevelsAreSubtotals="1" fieldPosition="0">
        <references count="1">
          <reference field="1" count="0"/>
        </references>
      </pivotArea>
    </format>
    <format dxfId="22">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8EF080-4626-4D4A-A4A7-4BD581622877}"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I5:K6" firstHeaderRow="0" firstDataRow="1" firstDataCol="1" rowPageCount="1" colPageCount="1"/>
  <pivotFields count="10">
    <pivotField dataField="1" showAll="0"/>
    <pivotField axis="axisRow" showAll="0" measureFilter="1">
      <items count="10">
        <item x="0"/>
        <item x="5"/>
        <item x="6"/>
        <item x="1"/>
        <item x="8"/>
        <item x="3"/>
        <item x="7"/>
        <item x="2"/>
        <item x="4"/>
        <item t="default"/>
      </items>
    </pivotField>
    <pivotField axis="axisPage" showAll="0">
      <items count="5">
        <item m="1" x="3"/>
        <item x="1"/>
        <item x="2"/>
        <item x="0"/>
        <item t="default"/>
      </items>
    </pivotField>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1">
    <i>
      <x v="5"/>
    </i>
  </rowItems>
  <colFields count="1">
    <field x="-2"/>
  </colFields>
  <colItems count="2">
    <i>
      <x/>
    </i>
    <i i="1">
      <x v="1"/>
    </i>
  </colItems>
  <pageFields count="1">
    <pageField fld="2" item="1" hier="-1"/>
  </pageFields>
  <dataFields count="2">
    <dataField name="Count of ID" fld="0" subtotal="count" baseField="0" baseItem="0"/>
    <dataField name="Average of Popularity_Score" fld="8" subtotal="average" baseField="0" baseItem="0" numFmtId="165"/>
  </dataFields>
  <formats count="4">
    <format dxfId="28">
      <pivotArea dataOnly="0" labelOnly="1" outline="0" axis="axisValues" fieldPosition="0"/>
    </format>
    <format dxfId="27">
      <pivotArea collapsedLevelsAreSubtotals="1" fieldPosition="0">
        <references count="1">
          <reference field="1" count="0"/>
        </references>
      </pivotArea>
    </format>
    <format dxfId="26">
      <pivotArea outline="0" collapsedLevelsAreSubtotals="1" fieldPosition="0"/>
    </format>
    <format dxfId="25">
      <pivotArea outline="0" collapsedLevelsAreSubtotals="1" fieldPosition="0">
        <references count="1">
          <reference field="4294967294" count="1" selected="0">
            <x v="1"/>
          </reference>
        </references>
      </pivotArea>
    </format>
  </formats>
  <pivotTableStyleInfo name="PivotStyleMedium25"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D1B8BB-19EF-455D-95FA-70E5617480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fieldListSortAscending="1">
  <location ref="A17:B24" firstHeaderRow="1" firstDataRow="1" firstDataCol="1"/>
  <pivotFields count="10">
    <pivotField showAll="0"/>
    <pivotField showAll="0"/>
    <pivotField showAll="0"/>
    <pivotField axis="axisRow" showAll="0" measureFilter="1" sortType="descending">
      <items count="11">
        <item x="0"/>
        <item x="1"/>
        <item x="6"/>
        <item x="9"/>
        <item x="4"/>
        <item x="5"/>
        <item x="3"/>
        <item x="8"/>
        <item x="7"/>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dataField="1" showAll="0"/>
    <pivotField showAll="0"/>
  </pivotFields>
  <rowFields count="1">
    <field x="3"/>
  </rowFields>
  <rowItems count="7">
    <i>
      <x v="6"/>
    </i>
    <i>
      <x v="3"/>
    </i>
    <i>
      <x v="4"/>
    </i>
    <i>
      <x v="5"/>
    </i>
    <i>
      <x v="8"/>
    </i>
    <i>
      <x v="1"/>
    </i>
    <i t="grand">
      <x/>
    </i>
  </rowItems>
  <colItems count="1">
    <i/>
  </colItems>
  <dataFields count="1">
    <dataField name="Sum of Popularity_Score" fld="8" showDataAs="percentOfTotal" baseField="0" baseItem="0" numFmtId="10"/>
  </dataFields>
  <formats count="4">
    <format dxfId="32">
      <pivotArea outline="0" collapsedLevelsAreSubtotals="1" fieldPosition="0"/>
    </format>
    <format dxfId="31">
      <pivotArea dataOnly="0" labelOnly="1" outline="0" axis="axisValues" fieldPosition="0"/>
    </format>
    <format dxfId="30">
      <pivotArea outline="0" fieldPosition="0">
        <references count="1">
          <reference field="4294967294" count="1">
            <x v="0"/>
          </reference>
        </references>
      </pivotArea>
    </format>
    <format dxfId="29">
      <pivotArea collapsedLevelsAreSubtotals="1" fieldPosition="0">
        <references count="1">
          <reference field="3" count="0"/>
        </references>
      </pivotArea>
    </format>
  </formats>
  <chartFormats count="3">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filters count="1">
    <filter fld="3"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ED1341-1EA8-4D29-B1C5-D8E2856E59D6}"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I20:K21" firstHeaderRow="0" firstDataRow="1" firstDataCol="1" rowPageCount="1" colPageCount="1"/>
  <pivotFields count="10">
    <pivotField showAll="0"/>
    <pivotField axis="axisRow" dataField="1" showAll="0" measureFilter="1">
      <items count="10">
        <item x="0"/>
        <item x="5"/>
        <item x="6"/>
        <item x="1"/>
        <item x="8"/>
        <item x="3"/>
        <item x="7"/>
        <item x="2"/>
        <item x="4"/>
        <item t="default"/>
      </items>
    </pivotField>
    <pivotField axis="axisPage" showAll="0">
      <items count="5">
        <item m="1" x="3"/>
        <item x="1"/>
        <item x="2"/>
        <item x="0"/>
        <item t="default"/>
      </items>
    </pivotField>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1">
    <i>
      <x/>
    </i>
  </rowItems>
  <colFields count="1">
    <field x="-2"/>
  </colFields>
  <colItems count="2">
    <i>
      <x/>
    </i>
    <i i="1">
      <x v="1"/>
    </i>
  </colItems>
  <pageFields count="1">
    <pageField fld="2" item="3" hier="-1"/>
  </pageFields>
  <dataFields count="2">
    <dataField name="Count of Item" fld="1" subtotal="count" baseField="0" baseItem="0"/>
    <dataField name="Average of Popularity_Score" fld="8" subtotal="average" baseField="0" baseItem="0" numFmtId="165"/>
  </dataFields>
  <formats count="4">
    <format dxfId="36">
      <pivotArea dataOnly="0" labelOnly="1" outline="0" axis="axisValues" fieldPosition="0"/>
    </format>
    <format dxfId="35">
      <pivotArea collapsedLevelsAreSubtotals="1" fieldPosition="0">
        <references count="1">
          <reference field="1" count="0"/>
        </references>
      </pivotArea>
    </format>
    <format dxfId="34">
      <pivotArea outline="0" collapsedLevelsAreSubtotals="1" fieldPosition="0"/>
    </format>
    <format dxfId="33">
      <pivotArea outline="0" collapsedLevelsAreSubtotals="1" fieldPosition="0">
        <references count="1">
          <reference field="4294967294" count="1" selected="0">
            <x v="1"/>
          </reference>
        </references>
      </pivotArea>
    </format>
  </formats>
  <pivotTableStyleInfo name="PivotStyleMedium25"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24A35B-F2BF-4D11-8894-35DC28A5D4EB}"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fieldListSortAscending="1">
  <location ref="A31:D35" firstHeaderRow="1" firstDataRow="2" firstDataCol="1"/>
  <pivotFields count="10">
    <pivotField showAll="0"/>
    <pivotField showAll="0"/>
    <pivotField axis="axisCol" showAll="0" sortType="descending">
      <items count="5">
        <item x="0"/>
        <item x="2"/>
        <item x="1"/>
        <item m="1" x="3"/>
        <item t="default"/>
      </items>
    </pivotField>
    <pivotField showAll="0"/>
    <pivotField axis="axisRow" showAll="0">
      <items count="4">
        <item x="1"/>
        <item x="2"/>
        <item x="0"/>
        <item t="default"/>
      </items>
    </pivotField>
    <pivotField dataField="1" showAll="0"/>
    <pivotField showAll="0"/>
    <pivotField showAll="0"/>
    <pivotField showAll="0"/>
    <pivotField showAll="0"/>
  </pivotFields>
  <rowFields count="1">
    <field x="4"/>
  </rowFields>
  <rowItems count="3">
    <i>
      <x/>
    </i>
    <i>
      <x v="1"/>
    </i>
    <i>
      <x v="2"/>
    </i>
  </rowItems>
  <colFields count="1">
    <field x="2"/>
  </colFields>
  <colItems count="3">
    <i>
      <x/>
    </i>
    <i>
      <x v="1"/>
    </i>
    <i>
      <x v="2"/>
    </i>
  </colItems>
  <dataFields count="1">
    <dataField name="Average of Price (USD)" fld="5" subtotal="average" baseField="0" baseItem="0" numFmtId="166"/>
  </dataFields>
  <formats count="2">
    <format dxfId="38">
      <pivotArea dataOnly="0" labelOnly="1" outline="0" axis="axisValues" fieldPosition="0"/>
    </format>
    <format dxfId="37">
      <pivotArea outline="0" collapsedLevelsAreSubtotals="1" fieldPosition="0"/>
    </format>
  </formats>
  <chartFormats count="6">
    <chartFormat chart="7" format="0" series="1">
      <pivotArea type="data" outline="0" fieldPosition="0">
        <references count="2">
          <reference field="4294967294" count="1" selected="0">
            <x v="0"/>
          </reference>
          <reference field="2" count="1" selected="0">
            <x v="2"/>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 chart="10" format="6" series="1">
      <pivotArea type="data" outline="0" fieldPosition="0">
        <references count="2">
          <reference field="4294967294" count="1" selected="0">
            <x v="0"/>
          </reference>
          <reference field="2" count="1" selected="0">
            <x v="2"/>
          </reference>
        </references>
      </pivotArea>
    </chartFormat>
    <chartFormat chart="10" format="7"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8A3D87C-087B-4710-9F26-BFFC48668E0E}"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I12:K13" firstHeaderRow="0" firstDataRow="1" firstDataCol="1" rowPageCount="1" colPageCount="1"/>
  <pivotFields count="10">
    <pivotField showAll="0"/>
    <pivotField axis="axisRow" dataField="1" showAll="0" measureFilter="1">
      <items count="10">
        <item x="0"/>
        <item x="5"/>
        <item x="6"/>
        <item x="1"/>
        <item x="8"/>
        <item x="3"/>
        <item x="7"/>
        <item x="2"/>
        <item x="4"/>
        <item t="default"/>
      </items>
    </pivotField>
    <pivotField axis="axisPage" showAll="0">
      <items count="5">
        <item m="1" x="3"/>
        <item x="1"/>
        <item x="2"/>
        <item x="0"/>
        <item t="default"/>
      </items>
    </pivotField>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1">
    <i>
      <x v="1"/>
    </i>
  </rowItems>
  <colFields count="1">
    <field x="-2"/>
  </colFields>
  <colItems count="2">
    <i>
      <x/>
    </i>
    <i i="1">
      <x v="1"/>
    </i>
  </colItems>
  <pageFields count="1">
    <pageField fld="2" item="2" hier="-1"/>
  </pageFields>
  <dataFields count="2">
    <dataField name="Count of Item" fld="1" subtotal="count" baseField="0" baseItem="0"/>
    <dataField name="Average of Popularity_Score" fld="8" subtotal="average" baseField="0" baseItem="0" numFmtId="165"/>
  </dataFields>
  <formats count="4">
    <format dxfId="42">
      <pivotArea dataOnly="0" labelOnly="1" outline="0" axis="axisValues" fieldPosition="0"/>
    </format>
    <format dxfId="41">
      <pivotArea collapsedLevelsAreSubtotals="1" fieldPosition="0">
        <references count="1">
          <reference field="1" count="0"/>
        </references>
      </pivotArea>
    </format>
    <format dxfId="40">
      <pivotArea outline="0" collapsedLevelsAreSubtotals="1" fieldPosition="0"/>
    </format>
    <format dxfId="39">
      <pivotArea outline="0" collapsedLevelsAreSubtotals="1" fieldPosition="0">
        <references count="1">
          <reference field="4294967294" count="1" selected="0">
            <x v="1"/>
          </reference>
        </references>
      </pivotArea>
    </format>
  </formats>
  <pivotTableStyleInfo name="PivotStyleMedium25"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B4349A-0642-455A-A4AF-26A81CF15788}" sourceName="Yea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4" name="PivotTable10"/>
    <pivotTable tabId="4" name="PivotTable11"/>
    <pivotTable tabId="4" name="PivotTable12"/>
    <pivotTable tabId="4" name="PivotTable13"/>
    <pivotTable tabId="4" name="PivotTable14"/>
    <pivotTable tabId="4" name="PivotTable15"/>
  </pivotTables>
  <data>
    <tabular pivotCacheId="27207841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7733D78-1586-49D9-AC99-4AFE35084733}" cache="Slicer_Year" caption="Year" columnCount="3" showCaption="0" style="SlicerStyleDark3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E08C518-4350-4B3A-8622-63C1C22EF974}" cache="Slicer_Year" caption="Year" columnCount="3" showCaption="0" style="SlicerStyleDark3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D3656BE-A8CE-4710-A5F0-19A0F6C5F266}" cache="Slicer_Year" caption="Year" columnCount="3" showCaption="0" style="SlicerStyleDark3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BADFE-801D-4B73-BBFA-D9D7BEEB7663}" name="Table1" displayName="Table1" ref="A1:I501" totalsRowShown="0" headerRowDxfId="2" headerRowBorderDxfId="1" tableBorderDxfId="0">
  <autoFilter ref="A1:I501" xr:uid="{2B5BADFE-801D-4B73-BBFA-D9D7BEEB7663}"/>
  <tableColumns count="9">
    <tableColumn id="1" xr3:uid="{E84C986F-B3D4-466C-A626-BBE84FACB9A5}" name="ID"/>
    <tableColumn id="2" xr3:uid="{94894505-69D2-4737-8FE2-58EE1818A5EB}" name="Item"/>
    <tableColumn id="3" xr3:uid="{F1F2B16E-EF64-43F4-A6F0-80DD01081A3F}" name="Type"/>
    <tableColumn id="4" xr3:uid="{50D08D8D-D395-4E90-99D4-2E5E8504C053}" name="Origin"/>
    <tableColumn id="5" xr3:uid="{3DA5F35E-3EA2-4484-9FFD-7224E59B251F}" name="Year"/>
    <tableColumn id="6" xr3:uid="{6D4D9B13-FBE8-4371-BAC2-F1D1F7DB508B}" name="Price (USD)"/>
    <tableColumn id="7" xr3:uid="{08A2ABF4-225C-483D-945C-3246EE09200E}" name="Calories"/>
    <tableColumn id="8" xr3:uid="{CFD54F19-9C7C-4ABA-A10F-5A8BB94B3354}" name="Rating"/>
    <tableColumn id="9" xr3:uid="{FC9538EC-DBFB-421E-B6CE-3F6F5A3E3015}" name="Popularity_Score"/>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4.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0B981-B6D3-4CB2-BB88-194F0770C02C}">
  <sheetPr codeName="Sheet2"/>
  <dimension ref="X6"/>
  <sheetViews>
    <sheetView showGridLines="0" tabSelected="1" topLeftCell="C1" zoomScale="68" zoomScaleNormal="68" workbookViewId="0">
      <selection activeCell="X6" sqref="X6"/>
    </sheetView>
  </sheetViews>
  <sheetFormatPr defaultRowHeight="15" x14ac:dyDescent="0.25"/>
  <cols>
    <col min="1" max="16384" width="9.140625" style="10"/>
  </cols>
  <sheetData>
    <row r="6" spans="24:24" x14ac:dyDescent="0.25">
      <c r="X6" s="10" t="s">
        <v>557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3ADFC-D01F-4B6E-97B3-DCD1238CDA08}">
  <sheetPr codeName="Sheet4"/>
  <dimension ref="A1"/>
  <sheetViews>
    <sheetView showGridLines="0" topLeftCell="B7" zoomScale="71" zoomScaleNormal="71" workbookViewId="0">
      <selection activeCell="C25" sqref="C25"/>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4C7F0-F092-4432-BDD2-2FDE918E2793}">
  <sheetPr codeName="Sheet5"/>
  <dimension ref="A1"/>
  <sheetViews>
    <sheetView showGridLines="0" topLeftCell="A7" zoomScale="80" zoomScaleNormal="80" workbookViewId="0">
      <selection activeCell="Y6" sqref="Y6"/>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380D2-FAD3-404B-9E84-E15DF11E156A}">
  <sheetPr codeName="Sheet1"/>
  <dimension ref="A1:K44"/>
  <sheetViews>
    <sheetView workbookViewId="0">
      <selection activeCell="D4" sqref="D4:E8"/>
    </sheetView>
  </sheetViews>
  <sheetFormatPr defaultRowHeight="15" x14ac:dyDescent="0.25"/>
  <cols>
    <col min="1" max="1" width="20.140625" bestFit="1" customWidth="1"/>
    <col min="2" max="2" width="16.7109375" bestFit="1" customWidth="1"/>
    <col min="3" max="3" width="18.42578125" bestFit="1" customWidth="1"/>
    <col min="4" max="4" width="13.140625" bestFit="1" customWidth="1"/>
    <col min="5" max="5" width="20.140625" bestFit="1" customWidth="1"/>
    <col min="6" max="6" width="26.5703125" bestFit="1" customWidth="1"/>
    <col min="7" max="7" width="13.28515625" bestFit="1" customWidth="1"/>
    <col min="8" max="8" width="16.7109375" bestFit="1" customWidth="1"/>
    <col min="9" max="9" width="20.140625" bestFit="1" customWidth="1"/>
    <col min="10" max="10" width="18.42578125" bestFit="1" customWidth="1"/>
    <col min="11" max="11" width="26.5703125" bestFit="1" customWidth="1"/>
  </cols>
  <sheetData>
    <row r="1" spans="1:11" x14ac:dyDescent="0.25">
      <c r="A1" t="s">
        <v>535</v>
      </c>
      <c r="C1" t="s">
        <v>536</v>
      </c>
      <c r="F1" t="s">
        <v>538</v>
      </c>
      <c r="H1" t="s">
        <v>539</v>
      </c>
    </row>
    <row r="2" spans="1:11" x14ac:dyDescent="0.25">
      <c r="A2">
        <v>450</v>
      </c>
      <c r="C2" s="7">
        <v>259.6177777777778</v>
      </c>
      <c r="F2" s="6">
        <v>5.4977777777777774</v>
      </c>
      <c r="H2">
        <v>3.7871111111111135</v>
      </c>
    </row>
    <row r="3" spans="1:11" x14ac:dyDescent="0.25">
      <c r="C3" s="7"/>
      <c r="F3" s="6"/>
    </row>
    <row r="4" spans="1:11" x14ac:dyDescent="0.25">
      <c r="A4" s="19" t="s">
        <v>545</v>
      </c>
      <c r="B4" s="19" t="s">
        <v>546</v>
      </c>
      <c r="C4" s="7"/>
    </row>
    <row r="5" spans="1:11" x14ac:dyDescent="0.25">
      <c r="A5" t="s">
        <v>547</v>
      </c>
      <c r="B5">
        <f>GETPIVOTDATA("ID",$A$1)</f>
        <v>450</v>
      </c>
      <c r="C5" s="7"/>
    </row>
    <row r="6" spans="1:11" x14ac:dyDescent="0.25">
      <c r="A6" t="s">
        <v>549</v>
      </c>
      <c r="B6" s="7">
        <f>GETPIVOTDATA("Calories",$C$1)</f>
        <v>259.6177777777778</v>
      </c>
      <c r="C6" s="7"/>
    </row>
    <row r="7" spans="1:11" x14ac:dyDescent="0.25">
      <c r="A7" t="s">
        <v>548</v>
      </c>
      <c r="B7" s="6">
        <f>GETPIVOTDATA("Popularity_Score",$F$1)</f>
        <v>5.4977777777777774</v>
      </c>
      <c r="C7" s="7"/>
    </row>
    <row r="8" spans="1:11" x14ac:dyDescent="0.25">
      <c r="A8" t="s">
        <v>550</v>
      </c>
      <c r="B8" s="6">
        <f>GETPIVOTDATA("Rating",$H$1)</f>
        <v>3.7871111111111135</v>
      </c>
      <c r="C8" s="7"/>
    </row>
    <row r="9" spans="1:11" x14ac:dyDescent="0.25">
      <c r="B9" s="6"/>
      <c r="C9" s="7"/>
      <c r="D9" s="3"/>
      <c r="E9" s="7"/>
    </row>
    <row r="10" spans="1:11" x14ac:dyDescent="0.25">
      <c r="C10" s="7"/>
      <c r="F10" s="6"/>
    </row>
    <row r="11" spans="1:11" x14ac:dyDescent="0.25">
      <c r="E11" t="str">
        <f>"The most dominant food origin is " &amp; UPPER(INDEX($E$13:$E$22,MATCH(MAX($F$13:$F$22), $F$13:$F$22))) &amp; ", suggesting that customers show a strong preference for taste influence."</f>
        <v>The most dominant food origin is JAPAN, suggesting that customers show a strong preference for taste influence.</v>
      </c>
    </row>
    <row r="12" spans="1:11" x14ac:dyDescent="0.25">
      <c r="A12" s="2" t="s">
        <v>533</v>
      </c>
      <c r="B12" s="4" t="s">
        <v>540</v>
      </c>
      <c r="E12" s="2" t="s">
        <v>533</v>
      </c>
      <c r="F12" t="s">
        <v>542</v>
      </c>
      <c r="I12" s="2" t="s">
        <v>533</v>
      </c>
      <c r="J12" t="s">
        <v>536</v>
      </c>
      <c r="K12" t="s">
        <v>538</v>
      </c>
    </row>
    <row r="13" spans="1:11" x14ac:dyDescent="0.25">
      <c r="A13" s="3" t="s">
        <v>520</v>
      </c>
      <c r="B13" s="5">
        <v>8</v>
      </c>
      <c r="E13" s="3" t="s">
        <v>529</v>
      </c>
      <c r="F13">
        <v>35</v>
      </c>
      <c r="I13" s="3" t="s">
        <v>509</v>
      </c>
      <c r="J13" s="7">
        <v>217.4915254237288</v>
      </c>
      <c r="K13" s="7">
        <v>5.7796610169491522</v>
      </c>
    </row>
    <row r="14" spans="1:11" x14ac:dyDescent="0.25">
      <c r="A14" s="3" t="s">
        <v>521</v>
      </c>
      <c r="B14" s="5">
        <v>6</v>
      </c>
      <c r="E14" s="3" t="s">
        <v>531</v>
      </c>
      <c r="F14">
        <v>37</v>
      </c>
      <c r="I14" s="3" t="s">
        <v>514</v>
      </c>
      <c r="J14" s="7">
        <v>381.47169811320754</v>
      </c>
      <c r="K14" s="7">
        <v>6.0377358490566042</v>
      </c>
    </row>
    <row r="15" spans="1:11" x14ac:dyDescent="0.25">
      <c r="A15" s="3" t="s">
        <v>519</v>
      </c>
      <c r="B15" s="5">
        <v>12</v>
      </c>
      <c r="E15" s="3" t="s">
        <v>525</v>
      </c>
      <c r="F15">
        <v>39</v>
      </c>
      <c r="I15" s="3" t="s">
        <v>515</v>
      </c>
      <c r="J15" s="7">
        <v>181.875</v>
      </c>
      <c r="K15" s="7">
        <v>4.854166666666667</v>
      </c>
    </row>
    <row r="16" spans="1:11" x14ac:dyDescent="0.25">
      <c r="A16" s="3" t="s">
        <v>534</v>
      </c>
      <c r="B16" s="5">
        <v>12</v>
      </c>
      <c r="E16" s="3" t="s">
        <v>530</v>
      </c>
      <c r="F16">
        <v>44</v>
      </c>
      <c r="I16" s="3" t="s">
        <v>510</v>
      </c>
      <c r="J16" s="7">
        <v>178.77272727272728</v>
      </c>
      <c r="K16" s="7">
        <v>5.4772727272727275</v>
      </c>
    </row>
    <row r="17" spans="1:11" x14ac:dyDescent="0.25">
      <c r="E17" s="3" t="s">
        <v>523</v>
      </c>
      <c r="F17">
        <v>46</v>
      </c>
      <c r="I17" s="3" t="s">
        <v>518</v>
      </c>
      <c r="J17" s="7">
        <v>222.61111111111111</v>
      </c>
      <c r="K17" s="7">
        <v>5.6111111111111107</v>
      </c>
    </row>
    <row r="18" spans="1:11" x14ac:dyDescent="0.25">
      <c r="E18" s="3" t="s">
        <v>524</v>
      </c>
      <c r="F18">
        <v>46</v>
      </c>
      <c r="I18" s="3" t="s">
        <v>512</v>
      </c>
      <c r="J18" s="7">
        <v>189.5</v>
      </c>
      <c r="K18" s="7">
        <v>5.2962962962962967</v>
      </c>
    </row>
    <row r="19" spans="1:11" x14ac:dyDescent="0.25">
      <c r="E19" s="3" t="s">
        <v>528</v>
      </c>
      <c r="F19">
        <v>48</v>
      </c>
      <c r="I19" s="3" t="s">
        <v>516</v>
      </c>
      <c r="J19" s="7">
        <v>352.29268292682929</v>
      </c>
      <c r="K19" s="7">
        <v>6.5121951219512191</v>
      </c>
    </row>
    <row r="20" spans="1:11" x14ac:dyDescent="0.25">
      <c r="A20" s="2" t="s">
        <v>533</v>
      </c>
      <c r="B20" t="s">
        <v>539</v>
      </c>
      <c r="E20" s="3" t="s">
        <v>527</v>
      </c>
      <c r="F20">
        <v>51</v>
      </c>
      <c r="I20" s="3" t="s">
        <v>511</v>
      </c>
      <c r="J20" s="7">
        <v>396.54901960784315</v>
      </c>
      <c r="K20" s="7">
        <v>5.117647058823529</v>
      </c>
    </row>
    <row r="21" spans="1:11" x14ac:dyDescent="0.25">
      <c r="A21" s="3" t="s">
        <v>515</v>
      </c>
      <c r="B21" s="11">
        <v>3.6333333333333333</v>
      </c>
      <c r="E21" s="3" t="s">
        <v>532</v>
      </c>
      <c r="F21">
        <v>51</v>
      </c>
      <c r="I21" s="3" t="s">
        <v>513</v>
      </c>
      <c r="J21" s="7">
        <v>223.04347826086956</v>
      </c>
      <c r="K21" s="7">
        <v>4.8260869565217392</v>
      </c>
    </row>
    <row r="22" spans="1:11" x14ac:dyDescent="0.25">
      <c r="A22" s="3" t="s">
        <v>514</v>
      </c>
      <c r="B22" s="11">
        <v>3.662264150943396</v>
      </c>
      <c r="E22" s="3" t="s">
        <v>526</v>
      </c>
      <c r="F22">
        <v>53</v>
      </c>
      <c r="I22" s="3" t="s">
        <v>534</v>
      </c>
      <c r="J22" s="7">
        <v>259.6177777777778</v>
      </c>
      <c r="K22" s="7">
        <v>5.4977777777777774</v>
      </c>
    </row>
    <row r="23" spans="1:11" x14ac:dyDescent="0.25">
      <c r="A23" s="3" t="s">
        <v>510</v>
      </c>
      <c r="B23" s="11">
        <v>3.6840909090909095</v>
      </c>
      <c r="E23" s="3" t="s">
        <v>534</v>
      </c>
      <c r="F23">
        <v>450</v>
      </c>
    </row>
    <row r="24" spans="1:11" x14ac:dyDescent="0.25">
      <c r="A24" s="3" t="s">
        <v>512</v>
      </c>
      <c r="B24" s="11">
        <v>3.7296296296296299</v>
      </c>
    </row>
    <row r="25" spans="1:11" x14ac:dyDescent="0.25">
      <c r="A25" s="3" t="s">
        <v>509</v>
      </c>
      <c r="B25" s="11">
        <v>3.7559322033898312</v>
      </c>
      <c r="I25" t="str">
        <f>INDEX($I$27:$I$35, MATCH(MIN($J$27:$J$35),$J$27:$J$35,0)) &amp; " has the lowest calories in the food-items"</f>
        <v>Milkshake has the lowest calories in the food-items</v>
      </c>
      <c r="J25" t="str">
        <f>UPPER(INDEX($I$27:$I$35, MATCH(MIN($J$27:$J$35),$J$27:$J$35,0))) &amp; " has the lowest calories, while " &amp; UPPER(INDEX($I$27:$I$35, MATCH(MAX($J$27:$J$35),$J$27:$J$35))) &amp; " has the highest calories in the food-items"</f>
        <v>MILKSHAKE has the lowest calories, while POTATO CHIPS has the highest calories in the food-items</v>
      </c>
    </row>
    <row r="26" spans="1:11" x14ac:dyDescent="0.25">
      <c r="A26" s="3" t="s">
        <v>511</v>
      </c>
      <c r="B26" s="11">
        <v>3.7764705882352936</v>
      </c>
      <c r="E26" s="2" t="s">
        <v>533</v>
      </c>
      <c r="F26" t="s">
        <v>538</v>
      </c>
      <c r="I26" t="str">
        <f t="shared" ref="I26:K35" si="0">I12</f>
        <v>Row Labels</v>
      </c>
      <c r="J26" t="str">
        <f t="shared" si="0"/>
        <v>Average of Calories</v>
      </c>
      <c r="K26" t="str">
        <f t="shared" si="0"/>
        <v>Average of Popularity_Score</v>
      </c>
    </row>
    <row r="27" spans="1:11" x14ac:dyDescent="0.25">
      <c r="A27" s="3" t="s">
        <v>513</v>
      </c>
      <c r="B27" s="11">
        <v>3.8934782608695664</v>
      </c>
      <c r="E27" s="3" t="s">
        <v>509</v>
      </c>
      <c r="F27" s="6">
        <v>5.7796610169491522</v>
      </c>
      <c r="G27" s="6"/>
      <c r="I27" t="str">
        <f t="shared" si="0"/>
        <v>Chicken Noodle Soup</v>
      </c>
      <c r="J27">
        <f t="shared" si="0"/>
        <v>217.4915254237288</v>
      </c>
      <c r="K27">
        <f t="shared" si="0"/>
        <v>5.7796610169491522</v>
      </c>
    </row>
    <row r="28" spans="1:11" x14ac:dyDescent="0.25">
      <c r="A28" s="3" t="s">
        <v>516</v>
      </c>
      <c r="B28" s="11">
        <v>3.9317073170731711</v>
      </c>
      <c r="E28" s="3" t="s">
        <v>514</v>
      </c>
      <c r="F28" s="6">
        <v>6.0377358490566042</v>
      </c>
      <c r="G28" s="6"/>
      <c r="I28" t="str">
        <f t="shared" si="0"/>
        <v>Chocolate Bar</v>
      </c>
      <c r="J28">
        <f t="shared" si="0"/>
        <v>381.47169811320754</v>
      </c>
      <c r="K28">
        <f t="shared" si="0"/>
        <v>6.0377358490566042</v>
      </c>
    </row>
    <row r="29" spans="1:11" x14ac:dyDescent="0.25">
      <c r="A29" s="3" t="s">
        <v>518</v>
      </c>
      <c r="B29" s="11">
        <v>4.0314814814814817</v>
      </c>
      <c r="E29" s="3" t="s">
        <v>510</v>
      </c>
      <c r="F29" s="6">
        <v>5.4772727272727275</v>
      </c>
      <c r="G29" s="6"/>
      <c r="I29" t="str">
        <f t="shared" si="0"/>
        <v>Cola Drink</v>
      </c>
      <c r="J29">
        <f t="shared" si="0"/>
        <v>181.875</v>
      </c>
      <c r="K29">
        <f t="shared" si="0"/>
        <v>4.854166666666667</v>
      </c>
    </row>
    <row r="30" spans="1:11" x14ac:dyDescent="0.25">
      <c r="A30" s="3" t="s">
        <v>534</v>
      </c>
      <c r="B30" s="11">
        <v>3.7871111111111158</v>
      </c>
      <c r="E30" s="3" t="s">
        <v>518</v>
      </c>
      <c r="F30" s="6">
        <v>5.6111111111111107</v>
      </c>
      <c r="G30" s="6"/>
      <c r="I30" t="str">
        <f t="shared" si="0"/>
        <v>Milkshake</v>
      </c>
      <c r="J30">
        <f t="shared" si="0"/>
        <v>178.77272727272728</v>
      </c>
      <c r="K30">
        <f t="shared" si="0"/>
        <v>5.4772727272727275</v>
      </c>
    </row>
    <row r="31" spans="1:11" x14ac:dyDescent="0.25">
      <c r="E31" s="3" t="s">
        <v>516</v>
      </c>
      <c r="F31" s="6">
        <v>6.5121951219512191</v>
      </c>
      <c r="G31" s="6"/>
      <c r="I31" t="str">
        <f t="shared" si="0"/>
        <v>Mushroom Soup</v>
      </c>
      <c r="J31">
        <f t="shared" si="0"/>
        <v>222.61111111111111</v>
      </c>
      <c r="K31">
        <f t="shared" si="0"/>
        <v>5.6111111111111107</v>
      </c>
    </row>
    <row r="32" spans="1:11" x14ac:dyDescent="0.25">
      <c r="G32" s="6"/>
      <c r="I32" t="str">
        <f t="shared" si="0"/>
        <v>Orange Juice</v>
      </c>
      <c r="J32">
        <f t="shared" si="0"/>
        <v>189.5</v>
      </c>
      <c r="K32">
        <f t="shared" si="0"/>
        <v>5.2962962962962967</v>
      </c>
    </row>
    <row r="33" spans="1:11" x14ac:dyDescent="0.25">
      <c r="B33" s="6" t="str">
        <f t="shared" ref="A33:B42" si="1">B20</f>
        <v>Average of Rating</v>
      </c>
      <c r="C33" t="s">
        <v>544</v>
      </c>
      <c r="G33" s="6"/>
      <c r="I33" t="str">
        <f t="shared" si="0"/>
        <v>Popcorn</v>
      </c>
      <c r="J33">
        <f t="shared" si="0"/>
        <v>352.29268292682929</v>
      </c>
      <c r="K33">
        <f t="shared" si="0"/>
        <v>6.5121951219512191</v>
      </c>
    </row>
    <row r="34" spans="1:11" x14ac:dyDescent="0.25">
      <c r="A34" t="str">
        <f t="shared" si="1"/>
        <v>Cola Drink</v>
      </c>
      <c r="B34" s="11">
        <f>B21</f>
        <v>3.6333333333333333</v>
      </c>
      <c r="C34">
        <v>5</v>
      </c>
      <c r="G34" s="6"/>
      <c r="I34" t="str">
        <f t="shared" si="0"/>
        <v>Potato Chips</v>
      </c>
      <c r="J34">
        <f t="shared" si="0"/>
        <v>396.54901960784315</v>
      </c>
      <c r="K34">
        <f t="shared" si="0"/>
        <v>5.117647058823529</v>
      </c>
    </row>
    <row r="35" spans="1:11" x14ac:dyDescent="0.25">
      <c r="A35" t="str">
        <f t="shared" si="1"/>
        <v>Chocolate Bar</v>
      </c>
      <c r="B35" s="11">
        <f t="shared" si="1"/>
        <v>3.662264150943396</v>
      </c>
      <c r="C35">
        <v>5</v>
      </c>
      <c r="G35" s="6"/>
      <c r="I35" t="str">
        <f t="shared" si="0"/>
        <v>Tomato Soup</v>
      </c>
      <c r="J35">
        <f t="shared" si="0"/>
        <v>223.04347826086956</v>
      </c>
      <c r="K35">
        <f t="shared" si="0"/>
        <v>4.8260869565217392</v>
      </c>
    </row>
    <row r="36" spans="1:11" x14ac:dyDescent="0.25">
      <c r="A36" t="str">
        <f t="shared" si="1"/>
        <v>Milkshake</v>
      </c>
      <c r="B36" s="11">
        <f t="shared" si="1"/>
        <v>3.6840909090909095</v>
      </c>
      <c r="C36">
        <v>5</v>
      </c>
    </row>
    <row r="37" spans="1:11" x14ac:dyDescent="0.25">
      <c r="A37" t="str">
        <f t="shared" si="1"/>
        <v>Orange Juice</v>
      </c>
      <c r="B37" s="11">
        <f t="shared" si="1"/>
        <v>3.7296296296296299</v>
      </c>
      <c r="C37">
        <v>5</v>
      </c>
    </row>
    <row r="38" spans="1:11" x14ac:dyDescent="0.25">
      <c r="A38" t="str">
        <f t="shared" si="1"/>
        <v>Chicken Noodle Soup</v>
      </c>
      <c r="B38" s="11">
        <f t="shared" si="1"/>
        <v>3.7559322033898312</v>
      </c>
      <c r="C38">
        <v>5</v>
      </c>
    </row>
    <row r="39" spans="1:11" x14ac:dyDescent="0.25">
      <c r="A39" t="str">
        <f t="shared" si="1"/>
        <v>Potato Chips</v>
      </c>
      <c r="B39" s="11">
        <f t="shared" si="1"/>
        <v>3.7764705882352936</v>
      </c>
      <c r="C39">
        <v>5</v>
      </c>
    </row>
    <row r="40" spans="1:11" x14ac:dyDescent="0.25">
      <c r="A40" t="str">
        <f t="shared" si="1"/>
        <v>Tomato Soup</v>
      </c>
      <c r="B40" s="11">
        <f t="shared" si="1"/>
        <v>3.8934782608695664</v>
      </c>
      <c r="C40">
        <v>5</v>
      </c>
    </row>
    <row r="41" spans="1:11" x14ac:dyDescent="0.25">
      <c r="A41" t="str">
        <f t="shared" si="1"/>
        <v>Popcorn</v>
      </c>
      <c r="B41" s="11">
        <f t="shared" si="1"/>
        <v>3.9317073170731711</v>
      </c>
      <c r="C41">
        <v>5</v>
      </c>
    </row>
    <row r="42" spans="1:11" x14ac:dyDescent="0.25">
      <c r="A42" t="str">
        <f t="shared" si="1"/>
        <v>Mushroom Soup</v>
      </c>
      <c r="B42" s="11">
        <f t="shared" si="1"/>
        <v>4.0314814814814817</v>
      </c>
      <c r="C42">
        <v>5</v>
      </c>
    </row>
    <row r="44" spans="1:11" x14ac:dyDescent="0.25">
      <c r="A44" t="str">
        <f>"The Overall highest Rated Food is " &amp; UPPER(INDEX($A$34:$A$42,MATCH(MAX($B$34:$B$42),$B$34:$B$42,0))) &amp; ", with the rating value of " &amp; TEXT(MAX($B$34:$B$42), "0.0") &amp; ", reflecting strong customer satisfaction, likely influenced by quality, taste, or perceived value, while the lowest rated food-item is " &amp; UPPER(INDEX($A$34:$A$42,MATCH(MIN($B$34:$B$42),$B$34:$B$42,0))) &amp; ", with the rating value of " &amp; TEXT(MIN($B$34:$B$42), "0.0") &amp; "."</f>
        <v>The Overall highest Rated Food is MUSHROOM SOUP, with the rating value of 4.0, reflecting strong customer satisfaction, likely influenced by quality, taste, or perceived value, while the lowest rated food-item is COLA DRINK, with the rating value of 3.6.</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47E2-882A-4170-8B10-5B26FD001ADE}">
  <sheetPr codeName="Sheet3"/>
  <dimension ref="A3:O35"/>
  <sheetViews>
    <sheetView workbookViewId="0">
      <selection activeCell="G1" sqref="G1"/>
    </sheetView>
  </sheetViews>
  <sheetFormatPr defaultRowHeight="15" x14ac:dyDescent="0.25"/>
  <cols>
    <col min="1" max="1" width="13.140625" bestFit="1" customWidth="1"/>
    <col min="2" max="2" width="23" bestFit="1" customWidth="1"/>
    <col min="3" max="4" width="6" bestFit="1" customWidth="1"/>
    <col min="5" max="5" width="20.140625" bestFit="1" customWidth="1"/>
    <col min="6" max="6" width="17.85546875" bestFit="1" customWidth="1"/>
    <col min="7" max="7" width="23" bestFit="1" customWidth="1"/>
    <col min="8" max="8" width="13.28515625" bestFit="1" customWidth="1"/>
    <col min="9" max="9" width="20.140625" bestFit="1" customWidth="1"/>
    <col min="10" max="10" width="13.28515625" bestFit="1" customWidth="1"/>
    <col min="11" max="11" width="26.5703125" bestFit="1" customWidth="1"/>
    <col min="12" max="12" width="13.7109375" customWidth="1"/>
    <col min="13" max="13" width="19.85546875" customWidth="1"/>
    <col min="14" max="14" width="14.140625" customWidth="1"/>
    <col min="15" max="15" width="8.28515625" customWidth="1"/>
    <col min="16" max="156" width="5" bestFit="1" customWidth="1"/>
  </cols>
  <sheetData>
    <row r="3" spans="1:15" x14ac:dyDescent="0.25">
      <c r="I3" s="2" t="s">
        <v>2</v>
      </c>
      <c r="J3" t="s">
        <v>520</v>
      </c>
    </row>
    <row r="5" spans="1:15" x14ac:dyDescent="0.25">
      <c r="A5" s="2" t="s">
        <v>533</v>
      </c>
      <c r="B5" t="s">
        <v>543</v>
      </c>
      <c r="E5" s="2" t="s">
        <v>533</v>
      </c>
      <c r="F5" t="s">
        <v>540</v>
      </c>
      <c r="G5" t="s">
        <v>537</v>
      </c>
      <c r="I5" s="2" t="s">
        <v>533</v>
      </c>
      <c r="J5" t="s">
        <v>535</v>
      </c>
      <c r="K5" t="s">
        <v>538</v>
      </c>
      <c r="M5" s="19" t="s">
        <v>551</v>
      </c>
      <c r="N5" s="19" t="s">
        <v>552</v>
      </c>
    </row>
    <row r="6" spans="1:15" x14ac:dyDescent="0.25">
      <c r="A6" s="3" t="s">
        <v>511</v>
      </c>
      <c r="B6" s="5">
        <v>3.3725490196078431</v>
      </c>
      <c r="E6" s="3" t="s">
        <v>509</v>
      </c>
      <c r="F6" s="7">
        <v>12</v>
      </c>
      <c r="G6" s="7">
        <v>341</v>
      </c>
      <c r="I6" s="3" t="s">
        <v>512</v>
      </c>
      <c r="J6" s="7">
        <v>54</v>
      </c>
      <c r="K6" s="6">
        <v>5.2962962962962967</v>
      </c>
      <c r="L6" s="7"/>
      <c r="M6" t="s">
        <v>519</v>
      </c>
      <c r="N6" t="str">
        <f>I21</f>
        <v>Chicken Noodle Soup</v>
      </c>
      <c r="O6" s="18">
        <f>$K$6</f>
        <v>5.2962962962962967</v>
      </c>
    </row>
    <row r="7" spans="1:15" x14ac:dyDescent="0.25">
      <c r="A7" s="3" t="s">
        <v>516</v>
      </c>
      <c r="B7" s="5">
        <v>3.6829268292682928</v>
      </c>
      <c r="E7" s="3" t="s">
        <v>514</v>
      </c>
      <c r="F7" s="7">
        <v>6</v>
      </c>
      <c r="G7" s="7">
        <v>320</v>
      </c>
      <c r="M7" t="s">
        <v>521</v>
      </c>
      <c r="N7" t="str">
        <f>I13</f>
        <v>Chocolate Bar</v>
      </c>
      <c r="O7" s="6">
        <f>$K$13</f>
        <v>6.0377358490566042</v>
      </c>
    </row>
    <row r="8" spans="1:15" x14ac:dyDescent="0.25">
      <c r="A8" s="3" t="s">
        <v>514</v>
      </c>
      <c r="B8" s="5">
        <v>3.6981132075471699</v>
      </c>
      <c r="E8" s="3" t="s">
        <v>515</v>
      </c>
      <c r="F8" s="7">
        <v>8</v>
      </c>
      <c r="G8" s="7">
        <v>233</v>
      </c>
      <c r="M8" t="s">
        <v>520</v>
      </c>
      <c r="N8" t="str">
        <f>I6</f>
        <v>Orange Juice</v>
      </c>
      <c r="O8" s="6">
        <f>$K$21</f>
        <v>5.7796610169491522</v>
      </c>
    </row>
    <row r="9" spans="1:15" x14ac:dyDescent="0.25">
      <c r="A9" s="3" t="s">
        <v>510</v>
      </c>
      <c r="B9" s="5">
        <v>4.3636363636363633</v>
      </c>
      <c r="E9" s="3" t="s">
        <v>510</v>
      </c>
      <c r="F9" s="7">
        <v>8</v>
      </c>
      <c r="G9" s="7">
        <v>241</v>
      </c>
    </row>
    <row r="10" spans="1:15" x14ac:dyDescent="0.25">
      <c r="A10" s="3" t="s">
        <v>512</v>
      </c>
      <c r="B10" s="5">
        <v>4.5185185185185182</v>
      </c>
      <c r="E10" s="3" t="s">
        <v>518</v>
      </c>
      <c r="F10" s="7">
        <v>12</v>
      </c>
      <c r="G10" s="7">
        <v>303</v>
      </c>
      <c r="I10" s="2" t="s">
        <v>2</v>
      </c>
      <c r="J10" t="s">
        <v>521</v>
      </c>
      <c r="M10" s="19" t="s">
        <v>551</v>
      </c>
      <c r="N10" s="19" t="s">
        <v>556</v>
      </c>
    </row>
    <row r="11" spans="1:15" ht="21.75" customHeight="1" x14ac:dyDescent="0.25">
      <c r="A11" s="3" t="s">
        <v>515</v>
      </c>
      <c r="B11" s="5">
        <v>4.729166666666667</v>
      </c>
      <c r="E11" s="3" t="s">
        <v>512</v>
      </c>
      <c r="F11" s="7">
        <v>8</v>
      </c>
      <c r="G11" s="7">
        <v>286</v>
      </c>
      <c r="M11" t="s">
        <v>554</v>
      </c>
      <c r="N11" s="16" t="str">
        <f>"For Soups, " &amp; UPPER(Soup) &amp; " ranks hisghest with a popularity score of " &amp; TEXT($O$6, "0.0")</f>
        <v>For Soups, CHICKEN NOODLE SOUP ranks hisghest with a popularity score of 5.3</v>
      </c>
    </row>
    <row r="12" spans="1:15" ht="15.75" x14ac:dyDescent="0.25">
      <c r="A12" s="3" t="s">
        <v>513</v>
      </c>
      <c r="B12" s="5">
        <v>7.4782608695652177</v>
      </c>
      <c r="E12" s="3" t="s">
        <v>516</v>
      </c>
      <c r="F12" s="7">
        <v>6</v>
      </c>
      <c r="G12" s="7">
        <v>267</v>
      </c>
      <c r="I12" s="2" t="s">
        <v>533</v>
      </c>
      <c r="J12" t="s">
        <v>542</v>
      </c>
      <c r="K12" t="s">
        <v>538</v>
      </c>
      <c r="M12" s="15" t="s">
        <v>553</v>
      </c>
      <c r="N12" s="16" t="str">
        <f xml:space="preserve"> "In the Snack Category, " &amp; UPPER(Snack) &amp; " Leads with a Popularity score of " &amp; TEXT(ABS($O$7), "0.0")</f>
        <v>In the Snack Category, CHOCOLATE BAR Leads with a Popularity score of 6.0</v>
      </c>
    </row>
    <row r="13" spans="1:15" ht="15.75" x14ac:dyDescent="0.25">
      <c r="A13" s="3" t="s">
        <v>509</v>
      </c>
      <c r="B13" s="5">
        <v>7.8644067796610173</v>
      </c>
      <c r="E13" s="3" t="s">
        <v>511</v>
      </c>
      <c r="F13" s="7">
        <v>6</v>
      </c>
      <c r="G13" s="7">
        <v>261</v>
      </c>
      <c r="I13" s="3" t="s">
        <v>514</v>
      </c>
      <c r="J13" s="7">
        <v>53</v>
      </c>
      <c r="K13" s="6">
        <v>6.0377358490566042</v>
      </c>
      <c r="M13" s="14" t="s">
        <v>555</v>
      </c>
      <c r="N13" s="17" t="str">
        <f>"Among Drinks, " &amp; UPPER(Drink)  &amp; " ranks highest with a popularity score of " &amp; TEXT(ABS($O$8), "0.0")</f>
        <v>Among Drinks, ORANGE JUICE ranks highest with a popularity score of 5.8</v>
      </c>
    </row>
    <row r="14" spans="1:15" x14ac:dyDescent="0.25">
      <c r="A14" s="3" t="s">
        <v>518</v>
      </c>
      <c r="B14" s="5">
        <v>8.4629629629629637</v>
      </c>
      <c r="E14" s="3" t="s">
        <v>513</v>
      </c>
      <c r="F14" s="7">
        <v>12</v>
      </c>
      <c r="G14" s="7">
        <v>222</v>
      </c>
      <c r="M14" s="14"/>
      <c r="N14" s="14"/>
    </row>
    <row r="15" spans="1:15" x14ac:dyDescent="0.25">
      <c r="N15" s="13"/>
    </row>
    <row r="17" spans="1:11" x14ac:dyDescent="0.25">
      <c r="A17" s="2" t="s">
        <v>533</v>
      </c>
      <c r="B17" t="s">
        <v>537</v>
      </c>
      <c r="E17" t="str">
        <f t="shared" ref="E17:G26" si="0">E5</f>
        <v>Row Labels</v>
      </c>
      <c r="F17" t="str">
        <f t="shared" si="0"/>
        <v>Max of Price (USD)</v>
      </c>
      <c r="G17" t="str">
        <f t="shared" si="0"/>
        <v>Sum of Popularity_Score</v>
      </c>
    </row>
    <row r="18" spans="1:11" x14ac:dyDescent="0.25">
      <c r="A18" s="3" t="s">
        <v>526</v>
      </c>
      <c r="B18" s="9">
        <v>0.17576484703059389</v>
      </c>
      <c r="E18" t="str">
        <f t="shared" si="0"/>
        <v>Chicken Noodle Soup</v>
      </c>
      <c r="F18">
        <f t="shared" si="0"/>
        <v>12</v>
      </c>
      <c r="G18">
        <f t="shared" si="0"/>
        <v>341</v>
      </c>
      <c r="I18" s="2" t="s">
        <v>2</v>
      </c>
      <c r="J18" t="s">
        <v>519</v>
      </c>
    </row>
    <row r="19" spans="1:11" x14ac:dyDescent="0.25">
      <c r="A19" s="3" t="s">
        <v>532</v>
      </c>
      <c r="B19" s="9">
        <v>0.17096580683863227</v>
      </c>
      <c r="E19" t="str">
        <f t="shared" si="0"/>
        <v>Chocolate Bar</v>
      </c>
      <c r="F19">
        <f t="shared" si="0"/>
        <v>6</v>
      </c>
      <c r="G19">
        <f t="shared" si="0"/>
        <v>320</v>
      </c>
    </row>
    <row r="20" spans="1:11" x14ac:dyDescent="0.25">
      <c r="A20" s="3" t="s">
        <v>527</v>
      </c>
      <c r="B20" s="9">
        <v>0.17096580683863227</v>
      </c>
      <c r="E20" t="str">
        <f t="shared" si="0"/>
        <v>Cola Drink</v>
      </c>
      <c r="F20">
        <f t="shared" si="0"/>
        <v>8</v>
      </c>
      <c r="G20">
        <f t="shared" si="0"/>
        <v>233</v>
      </c>
      <c r="I20" s="2" t="s">
        <v>533</v>
      </c>
      <c r="J20" t="s">
        <v>542</v>
      </c>
      <c r="K20" t="s">
        <v>538</v>
      </c>
    </row>
    <row r="21" spans="1:11" x14ac:dyDescent="0.25">
      <c r="A21" s="3" t="s">
        <v>528</v>
      </c>
      <c r="B21" s="9">
        <v>0.17036592681463708</v>
      </c>
      <c r="E21" t="str">
        <f t="shared" si="0"/>
        <v>Milkshake</v>
      </c>
      <c r="F21">
        <f t="shared" si="0"/>
        <v>8</v>
      </c>
      <c r="G21">
        <f t="shared" si="0"/>
        <v>241</v>
      </c>
      <c r="I21" s="3" t="s">
        <v>509</v>
      </c>
      <c r="J21" s="7">
        <v>59</v>
      </c>
      <c r="K21" s="6">
        <v>5.7796610169491522</v>
      </c>
    </row>
    <row r="22" spans="1:11" x14ac:dyDescent="0.25">
      <c r="A22" s="3" t="s">
        <v>530</v>
      </c>
      <c r="B22" s="9">
        <v>0.16136772645470907</v>
      </c>
      <c r="E22" t="str">
        <f t="shared" si="0"/>
        <v>Mushroom Soup</v>
      </c>
      <c r="F22">
        <f t="shared" si="0"/>
        <v>12</v>
      </c>
      <c r="G22">
        <f t="shared" si="0"/>
        <v>303</v>
      </c>
    </row>
    <row r="23" spans="1:11" x14ac:dyDescent="0.25">
      <c r="A23" s="3" t="s">
        <v>524</v>
      </c>
      <c r="B23" s="9">
        <v>0.15056988602279545</v>
      </c>
      <c r="E23" t="str">
        <f t="shared" si="0"/>
        <v>Orange Juice</v>
      </c>
      <c r="F23">
        <f t="shared" si="0"/>
        <v>8</v>
      </c>
      <c r="G23">
        <f t="shared" si="0"/>
        <v>286</v>
      </c>
    </row>
    <row r="24" spans="1:11" x14ac:dyDescent="0.25">
      <c r="A24" s="3" t="s">
        <v>534</v>
      </c>
      <c r="B24" s="8">
        <v>1</v>
      </c>
      <c r="E24" t="str">
        <f t="shared" si="0"/>
        <v>Popcorn</v>
      </c>
      <c r="F24">
        <f t="shared" si="0"/>
        <v>6</v>
      </c>
      <c r="G24">
        <f t="shared" si="0"/>
        <v>267</v>
      </c>
    </row>
    <row r="25" spans="1:11" x14ac:dyDescent="0.25">
      <c r="E25" t="str">
        <f t="shared" si="0"/>
        <v>Potato Chips</v>
      </c>
      <c r="F25">
        <f t="shared" si="0"/>
        <v>6</v>
      </c>
      <c r="G25">
        <f t="shared" si="0"/>
        <v>261</v>
      </c>
    </row>
    <row r="26" spans="1:11" x14ac:dyDescent="0.25">
      <c r="E26" t="str">
        <f t="shared" si="0"/>
        <v>Tomato Soup</v>
      </c>
      <c r="F26">
        <f t="shared" si="0"/>
        <v>12</v>
      </c>
      <c r="G26">
        <f t="shared" si="0"/>
        <v>222</v>
      </c>
    </row>
    <row r="27" spans="1:11" ht="17.25" customHeight="1" x14ac:dyDescent="0.25"/>
    <row r="28" spans="1:11" x14ac:dyDescent="0.25">
      <c r="E28" t="str">
        <f>INDEX($E$18:$E$26,MATCH(MAX($F$18:$F$26),$F$18:$F$26,0))&amp;" has the highest price value with the popularity score of " &amp; INDEX($G$18:$G$26, MATCH(MAX($F$18:$F$26),$F$18:$F$26,0))</f>
        <v>Chicken Noodle Soup has the highest price value with the popularity score of 341</v>
      </c>
      <c r="F28" t="str">
        <f>UPPER(INDEX($E$18:$E$26,MATCH(MAX($F$18:$F$26),$F$18:$F$26,0))) &amp; " has the highest price value of $" &amp; MAX($F$18:$F$27) &amp; " with the popularity score of " &amp; INDEX($G$18:$G$26, MATCH(MAX($F$18:$F$26),$F$18:$F$26,0)) &amp; ", while " &amp; UPPER(INDEX($E$18:$E$26, MATCH(MAX($G$18:$G$26),$G$18:$G$26,0))) &amp; " emerges has most popular food-item with the value of " &amp; MAX($G$18:$G$26) &amp;" with a price value of $" &amp; INDEX($F$18:$F$26,MATCH(MAX($G$18:$G$26),$G$18:$G$26,0)) &amp; "."</f>
        <v>CHICKEN NOODLE SOUP has the highest price value of $12 with the popularity score of 341, while CHICKEN NOODLE SOUP emerges has most popular food-item with the value of 341 with a price value of $12.</v>
      </c>
      <c r="G28" t="str">
        <f>"In contrast, " &amp; UPPER(INDEX($E$18:$E$26,MATCH(MIN($G$18:$G$26),$G$18:$G$26,0))) &amp; " has the lowest popularity score with a price of $" &amp; INDEX($F$18:$F$26, MATCH(MIN($G$18:$G$26),$G$18:$G$26,0))</f>
        <v>In contrast, TOMATO SOUP has the lowest popularity score with a price of $12</v>
      </c>
    </row>
    <row r="31" spans="1:11" x14ac:dyDescent="0.25">
      <c r="A31" s="2" t="s">
        <v>543</v>
      </c>
      <c r="B31" s="2" t="s">
        <v>541</v>
      </c>
    </row>
    <row r="32" spans="1:11" x14ac:dyDescent="0.25">
      <c r="A32" s="2" t="s">
        <v>533</v>
      </c>
      <c r="B32" t="s">
        <v>519</v>
      </c>
      <c r="C32" t="s">
        <v>521</v>
      </c>
      <c r="D32" t="s">
        <v>520</v>
      </c>
    </row>
    <row r="33" spans="1:4" x14ac:dyDescent="0.25">
      <c r="A33" s="3">
        <v>2023</v>
      </c>
      <c r="B33" s="12">
        <v>8.0535714285714288</v>
      </c>
      <c r="C33" s="12">
        <v>3.358974358974359</v>
      </c>
      <c r="D33" s="12">
        <v>4.4035087719298245</v>
      </c>
    </row>
    <row r="34" spans="1:4" x14ac:dyDescent="0.25">
      <c r="A34" s="3">
        <v>2024</v>
      </c>
      <c r="B34" s="12">
        <v>7.865384615384615</v>
      </c>
      <c r="C34" s="12">
        <v>3.5555555555555554</v>
      </c>
      <c r="D34" s="12">
        <v>4.8055555555555554</v>
      </c>
    </row>
    <row r="35" spans="1:4" x14ac:dyDescent="0.25">
      <c r="A35" s="3">
        <v>2025</v>
      </c>
      <c r="B35" s="12">
        <v>7.9411764705882355</v>
      </c>
      <c r="C35" s="12">
        <v>3.7692307692307692</v>
      </c>
      <c r="D35" s="12">
        <v>4.5094339622641506</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I501"/>
  <sheetViews>
    <sheetView workbookViewId="0">
      <selection activeCell="K15" sqref="K15"/>
    </sheetView>
  </sheetViews>
  <sheetFormatPr defaultRowHeight="15" x14ac:dyDescent="0.25"/>
  <cols>
    <col min="6" max="6" width="13.140625" customWidth="1"/>
    <col min="7" max="7" width="10.28515625" customWidth="1"/>
    <col min="9" max="9" width="18.1406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509</v>
      </c>
      <c r="C2" t="s">
        <v>519</v>
      </c>
      <c r="D2" t="s">
        <v>523</v>
      </c>
      <c r="E2">
        <v>2025</v>
      </c>
      <c r="F2">
        <v>6.2</v>
      </c>
      <c r="G2">
        <v>194</v>
      </c>
      <c r="H2">
        <v>2.8</v>
      </c>
      <c r="I2">
        <v>2</v>
      </c>
    </row>
    <row r="3" spans="1:9" x14ac:dyDescent="0.25">
      <c r="A3" t="s">
        <v>10</v>
      </c>
      <c r="B3" t="s">
        <v>510</v>
      </c>
      <c r="C3" t="s">
        <v>520</v>
      </c>
      <c r="D3" t="s">
        <v>524</v>
      </c>
      <c r="E3">
        <v>2025</v>
      </c>
      <c r="F3">
        <v>3.95</v>
      </c>
      <c r="G3">
        <v>15</v>
      </c>
      <c r="H3">
        <v>2.7</v>
      </c>
      <c r="I3">
        <v>4</v>
      </c>
    </row>
    <row r="4" spans="1:9" x14ac:dyDescent="0.25">
      <c r="A4" t="s">
        <v>11</v>
      </c>
      <c r="B4" t="s">
        <v>510</v>
      </c>
      <c r="C4" t="s">
        <v>520</v>
      </c>
      <c r="D4" t="s">
        <v>525</v>
      </c>
      <c r="E4">
        <v>2023</v>
      </c>
      <c r="F4">
        <v>4.93</v>
      </c>
      <c r="G4">
        <v>332</v>
      </c>
      <c r="H4">
        <v>4.3</v>
      </c>
      <c r="I4">
        <v>7</v>
      </c>
    </row>
    <row r="5" spans="1:9" x14ac:dyDescent="0.25">
      <c r="A5" t="s">
        <v>12</v>
      </c>
      <c r="B5" t="s">
        <v>511</v>
      </c>
      <c r="C5" t="s">
        <v>521</v>
      </c>
      <c r="D5" t="s">
        <v>526</v>
      </c>
      <c r="E5">
        <v>2025</v>
      </c>
      <c r="F5">
        <v>2.39</v>
      </c>
      <c r="G5">
        <v>595</v>
      </c>
      <c r="H5">
        <v>2.5</v>
      </c>
      <c r="I5">
        <v>3</v>
      </c>
    </row>
    <row r="6" spans="1:9" x14ac:dyDescent="0.25">
      <c r="A6" t="s">
        <v>13</v>
      </c>
      <c r="B6" t="s">
        <v>512</v>
      </c>
      <c r="C6" t="s">
        <v>520</v>
      </c>
      <c r="D6" t="s">
        <v>527</v>
      </c>
      <c r="E6">
        <v>2024</v>
      </c>
      <c r="F6">
        <v>2.09</v>
      </c>
      <c r="G6">
        <v>172</v>
      </c>
      <c r="H6">
        <v>2.8</v>
      </c>
      <c r="I6">
        <v>7</v>
      </c>
    </row>
    <row r="7" spans="1:9" x14ac:dyDescent="0.25">
      <c r="A7" t="s">
        <v>14</v>
      </c>
      <c r="B7" t="s">
        <v>509</v>
      </c>
      <c r="C7" t="s">
        <v>519</v>
      </c>
      <c r="D7" t="s">
        <v>527</v>
      </c>
      <c r="E7">
        <v>2024</v>
      </c>
      <c r="F7">
        <v>8.83</v>
      </c>
      <c r="G7">
        <v>102</v>
      </c>
      <c r="H7">
        <v>4.3</v>
      </c>
      <c r="I7">
        <v>9</v>
      </c>
    </row>
    <row r="8" spans="1:9" x14ac:dyDescent="0.25">
      <c r="A8" t="s">
        <v>15</v>
      </c>
      <c r="B8" t="s">
        <v>509</v>
      </c>
      <c r="C8" t="s">
        <v>519</v>
      </c>
      <c r="D8" t="s">
        <v>528</v>
      </c>
      <c r="E8">
        <v>2023</v>
      </c>
      <c r="F8">
        <v>8.42</v>
      </c>
      <c r="G8">
        <v>265</v>
      </c>
      <c r="H8">
        <v>3.9</v>
      </c>
      <c r="I8">
        <v>2</v>
      </c>
    </row>
    <row r="9" spans="1:9" x14ac:dyDescent="0.25">
      <c r="A9" t="s">
        <v>16</v>
      </c>
      <c r="B9" t="s">
        <v>513</v>
      </c>
      <c r="C9" t="s">
        <v>519</v>
      </c>
      <c r="D9" t="s">
        <v>529</v>
      </c>
      <c r="E9">
        <v>2024</v>
      </c>
      <c r="F9">
        <v>11.88</v>
      </c>
      <c r="G9">
        <v>199</v>
      </c>
      <c r="H9">
        <v>4.7</v>
      </c>
      <c r="I9">
        <v>7</v>
      </c>
    </row>
    <row r="10" spans="1:9" x14ac:dyDescent="0.25">
      <c r="A10" t="s">
        <v>17</v>
      </c>
      <c r="B10" t="s">
        <v>514</v>
      </c>
      <c r="C10" t="s">
        <v>521</v>
      </c>
      <c r="D10" t="s">
        <v>526</v>
      </c>
      <c r="E10">
        <v>2025</v>
      </c>
      <c r="F10">
        <v>5.17</v>
      </c>
      <c r="G10">
        <v>233</v>
      </c>
      <c r="H10">
        <v>3.4</v>
      </c>
      <c r="I10">
        <v>4</v>
      </c>
    </row>
    <row r="11" spans="1:9" x14ac:dyDescent="0.25">
      <c r="A11" t="s">
        <v>18</v>
      </c>
      <c r="B11" t="s">
        <v>514</v>
      </c>
      <c r="C11" t="s">
        <v>521</v>
      </c>
      <c r="D11" t="s">
        <v>524</v>
      </c>
      <c r="E11">
        <v>2025</v>
      </c>
      <c r="F11">
        <v>4.17</v>
      </c>
      <c r="G11">
        <v>423</v>
      </c>
      <c r="H11">
        <v>4.3</v>
      </c>
      <c r="I11">
        <v>3</v>
      </c>
    </row>
    <row r="12" spans="1:9" x14ac:dyDescent="0.25">
      <c r="A12" t="s">
        <v>19</v>
      </c>
      <c r="B12" t="s">
        <v>515</v>
      </c>
      <c r="C12" t="s">
        <v>520</v>
      </c>
      <c r="D12" t="s">
        <v>528</v>
      </c>
      <c r="E12">
        <v>2024</v>
      </c>
      <c r="F12">
        <v>7.93</v>
      </c>
      <c r="G12">
        <v>327</v>
      </c>
      <c r="H12">
        <v>4.2</v>
      </c>
      <c r="I12">
        <v>4</v>
      </c>
    </row>
    <row r="13" spans="1:9" x14ac:dyDescent="0.25">
      <c r="A13" t="s">
        <v>20</v>
      </c>
      <c r="B13" t="s">
        <v>516</v>
      </c>
      <c r="C13" t="s">
        <v>521</v>
      </c>
      <c r="D13" t="s">
        <v>523</v>
      </c>
      <c r="E13">
        <v>2023</v>
      </c>
      <c r="F13">
        <v>5.1100000000000003</v>
      </c>
      <c r="G13">
        <v>562</v>
      </c>
      <c r="H13">
        <v>3.3</v>
      </c>
      <c r="I13">
        <v>5</v>
      </c>
    </row>
    <row r="14" spans="1:9" x14ac:dyDescent="0.25">
      <c r="A14" t="s">
        <v>21</v>
      </c>
      <c r="B14" t="s">
        <v>509</v>
      </c>
      <c r="C14" t="s">
        <v>519</v>
      </c>
      <c r="D14" t="s">
        <v>529</v>
      </c>
      <c r="E14">
        <v>2025</v>
      </c>
      <c r="F14">
        <v>11.01</v>
      </c>
      <c r="G14">
        <v>241</v>
      </c>
      <c r="H14">
        <v>3</v>
      </c>
      <c r="I14">
        <v>8</v>
      </c>
    </row>
    <row r="15" spans="1:9" x14ac:dyDescent="0.25">
      <c r="A15" t="s">
        <v>22</v>
      </c>
      <c r="B15" t="s">
        <v>512</v>
      </c>
      <c r="C15" t="s">
        <v>520</v>
      </c>
      <c r="D15" t="s">
        <v>526</v>
      </c>
      <c r="E15">
        <v>2023</v>
      </c>
      <c r="F15">
        <v>2.85</v>
      </c>
      <c r="G15">
        <v>126</v>
      </c>
      <c r="H15">
        <v>4.4000000000000004</v>
      </c>
      <c r="I15">
        <v>9</v>
      </c>
    </row>
    <row r="16" spans="1:9" x14ac:dyDescent="0.25">
      <c r="A16" t="s">
        <v>23</v>
      </c>
      <c r="B16" t="s">
        <v>514</v>
      </c>
      <c r="C16" t="s">
        <v>521</v>
      </c>
      <c r="D16" t="s">
        <v>525</v>
      </c>
      <c r="E16">
        <v>2024</v>
      </c>
      <c r="F16">
        <v>5.49</v>
      </c>
      <c r="G16">
        <v>354</v>
      </c>
      <c r="H16">
        <v>3.4</v>
      </c>
      <c r="I16">
        <v>3</v>
      </c>
    </row>
    <row r="17" spans="1:9" x14ac:dyDescent="0.25">
      <c r="A17" t="s">
        <v>24</v>
      </c>
      <c r="B17" t="s">
        <v>510</v>
      </c>
      <c r="C17" t="s">
        <v>520</v>
      </c>
      <c r="D17" t="s">
        <v>526</v>
      </c>
      <c r="E17">
        <v>2023</v>
      </c>
      <c r="F17">
        <v>6.29</v>
      </c>
      <c r="G17">
        <v>56</v>
      </c>
      <c r="H17">
        <v>2.9</v>
      </c>
      <c r="I17">
        <v>3</v>
      </c>
    </row>
    <row r="18" spans="1:9" x14ac:dyDescent="0.25">
      <c r="A18" t="s">
        <v>25</v>
      </c>
      <c r="B18" t="s">
        <v>512</v>
      </c>
      <c r="C18" t="s">
        <v>520</v>
      </c>
      <c r="D18" t="s">
        <v>525</v>
      </c>
      <c r="E18">
        <v>2023</v>
      </c>
      <c r="F18">
        <v>3.69</v>
      </c>
      <c r="G18">
        <v>305</v>
      </c>
      <c r="H18">
        <v>5</v>
      </c>
      <c r="I18">
        <v>9</v>
      </c>
    </row>
    <row r="19" spans="1:9" x14ac:dyDescent="0.25">
      <c r="A19" t="s">
        <v>26</v>
      </c>
      <c r="B19" t="s">
        <v>514</v>
      </c>
      <c r="C19" t="s">
        <v>521</v>
      </c>
      <c r="D19" t="s">
        <v>530</v>
      </c>
      <c r="E19">
        <v>2023</v>
      </c>
      <c r="F19">
        <v>4.4000000000000004</v>
      </c>
      <c r="G19">
        <v>208</v>
      </c>
      <c r="H19">
        <v>4.2</v>
      </c>
      <c r="I19">
        <v>9</v>
      </c>
    </row>
    <row r="20" spans="1:9" x14ac:dyDescent="0.25">
      <c r="A20" t="s">
        <v>27</v>
      </c>
      <c r="B20" t="s">
        <v>514</v>
      </c>
      <c r="C20" t="s">
        <v>521</v>
      </c>
      <c r="D20" t="s">
        <v>527</v>
      </c>
      <c r="E20">
        <v>2023</v>
      </c>
      <c r="F20">
        <v>2.4700000000000002</v>
      </c>
      <c r="G20">
        <v>230</v>
      </c>
      <c r="H20">
        <v>3.6</v>
      </c>
      <c r="I20">
        <v>5</v>
      </c>
    </row>
    <row r="21" spans="1:9" x14ac:dyDescent="0.25">
      <c r="A21" t="s">
        <v>28</v>
      </c>
      <c r="B21" t="s">
        <v>510</v>
      </c>
      <c r="C21" t="s">
        <v>520</v>
      </c>
      <c r="D21" t="s">
        <v>531</v>
      </c>
      <c r="E21">
        <v>2025</v>
      </c>
      <c r="F21">
        <v>7.39</v>
      </c>
      <c r="G21">
        <v>320</v>
      </c>
      <c r="H21">
        <v>3.2</v>
      </c>
      <c r="I21">
        <v>9</v>
      </c>
    </row>
    <row r="22" spans="1:9" x14ac:dyDescent="0.25">
      <c r="A22" t="s">
        <v>29</v>
      </c>
      <c r="B22" t="s">
        <v>517</v>
      </c>
      <c r="C22" t="s">
        <v>522</v>
      </c>
      <c r="D22" t="s">
        <v>529</v>
      </c>
      <c r="E22">
        <v>2023</v>
      </c>
      <c r="F22">
        <v>5.62</v>
      </c>
      <c r="G22">
        <v>282</v>
      </c>
      <c r="H22">
        <v>3.8</v>
      </c>
      <c r="I22">
        <v>9</v>
      </c>
    </row>
    <row r="23" spans="1:9" x14ac:dyDescent="0.25">
      <c r="A23" t="s">
        <v>30</v>
      </c>
      <c r="B23" t="s">
        <v>513</v>
      </c>
      <c r="C23" t="s">
        <v>519</v>
      </c>
      <c r="D23" t="s">
        <v>525</v>
      </c>
      <c r="E23">
        <v>2024</v>
      </c>
      <c r="F23">
        <v>7.91</v>
      </c>
      <c r="G23">
        <v>137</v>
      </c>
      <c r="H23">
        <v>4.8</v>
      </c>
      <c r="I23">
        <v>5</v>
      </c>
    </row>
    <row r="24" spans="1:9" x14ac:dyDescent="0.25">
      <c r="A24" t="s">
        <v>31</v>
      </c>
      <c r="B24" t="s">
        <v>511</v>
      </c>
      <c r="C24" t="s">
        <v>521</v>
      </c>
      <c r="D24" t="s">
        <v>523</v>
      </c>
      <c r="E24">
        <v>2023</v>
      </c>
      <c r="F24">
        <v>5.39</v>
      </c>
      <c r="G24">
        <v>190</v>
      </c>
      <c r="H24">
        <v>2.7</v>
      </c>
      <c r="I24">
        <v>8</v>
      </c>
    </row>
    <row r="25" spans="1:9" x14ac:dyDescent="0.25">
      <c r="A25" t="s">
        <v>32</v>
      </c>
      <c r="B25" t="s">
        <v>509</v>
      </c>
      <c r="C25" t="s">
        <v>519</v>
      </c>
      <c r="D25" t="s">
        <v>530</v>
      </c>
      <c r="E25">
        <v>2023</v>
      </c>
      <c r="F25">
        <v>5.03</v>
      </c>
      <c r="G25">
        <v>323</v>
      </c>
      <c r="H25">
        <v>4.9000000000000004</v>
      </c>
      <c r="I25">
        <v>3</v>
      </c>
    </row>
    <row r="26" spans="1:9" x14ac:dyDescent="0.25">
      <c r="A26" t="s">
        <v>33</v>
      </c>
      <c r="B26" t="s">
        <v>514</v>
      </c>
      <c r="C26" t="s">
        <v>521</v>
      </c>
      <c r="D26" t="s">
        <v>530</v>
      </c>
      <c r="E26">
        <v>2025</v>
      </c>
      <c r="F26">
        <v>3.12</v>
      </c>
      <c r="G26">
        <v>258</v>
      </c>
      <c r="H26">
        <v>4.8</v>
      </c>
      <c r="I26">
        <v>4</v>
      </c>
    </row>
    <row r="27" spans="1:9" x14ac:dyDescent="0.25">
      <c r="A27" t="s">
        <v>34</v>
      </c>
      <c r="B27" t="s">
        <v>514</v>
      </c>
      <c r="C27" t="s">
        <v>521</v>
      </c>
      <c r="D27" t="s">
        <v>528</v>
      </c>
      <c r="E27">
        <v>2025</v>
      </c>
      <c r="F27">
        <v>4.25</v>
      </c>
      <c r="G27">
        <v>374</v>
      </c>
      <c r="H27">
        <v>4.7</v>
      </c>
      <c r="I27">
        <v>8</v>
      </c>
    </row>
    <row r="28" spans="1:9" x14ac:dyDescent="0.25">
      <c r="A28" t="s">
        <v>35</v>
      </c>
      <c r="B28" t="s">
        <v>509</v>
      </c>
      <c r="C28" t="s">
        <v>519</v>
      </c>
      <c r="D28" t="s">
        <v>529</v>
      </c>
      <c r="E28">
        <v>2023</v>
      </c>
      <c r="F28">
        <v>4.51</v>
      </c>
      <c r="G28">
        <v>90</v>
      </c>
      <c r="H28">
        <v>4</v>
      </c>
      <c r="I28">
        <v>4</v>
      </c>
    </row>
    <row r="29" spans="1:9" x14ac:dyDescent="0.25">
      <c r="A29" t="s">
        <v>36</v>
      </c>
      <c r="B29" t="s">
        <v>517</v>
      </c>
      <c r="C29" t="s">
        <v>522</v>
      </c>
      <c r="D29" t="s">
        <v>529</v>
      </c>
      <c r="E29">
        <v>2023</v>
      </c>
      <c r="F29">
        <v>3.5</v>
      </c>
      <c r="G29">
        <v>230</v>
      </c>
      <c r="H29">
        <v>3.1</v>
      </c>
      <c r="I29">
        <v>1</v>
      </c>
    </row>
    <row r="30" spans="1:9" x14ac:dyDescent="0.25">
      <c r="A30" t="s">
        <v>37</v>
      </c>
      <c r="B30" t="s">
        <v>516</v>
      </c>
      <c r="C30" t="s">
        <v>521</v>
      </c>
      <c r="D30" t="s">
        <v>524</v>
      </c>
      <c r="E30">
        <v>2025</v>
      </c>
      <c r="F30">
        <v>2.19</v>
      </c>
      <c r="G30">
        <v>492</v>
      </c>
      <c r="H30">
        <v>3.7</v>
      </c>
      <c r="I30">
        <v>9</v>
      </c>
    </row>
    <row r="31" spans="1:9" x14ac:dyDescent="0.25">
      <c r="A31" t="s">
        <v>38</v>
      </c>
      <c r="B31" t="s">
        <v>518</v>
      </c>
      <c r="C31" t="s">
        <v>519</v>
      </c>
      <c r="D31" t="s">
        <v>525</v>
      </c>
      <c r="E31">
        <v>2025</v>
      </c>
      <c r="F31">
        <v>7.78</v>
      </c>
      <c r="G31">
        <v>322</v>
      </c>
      <c r="H31">
        <v>4.5</v>
      </c>
      <c r="I31">
        <v>4</v>
      </c>
    </row>
    <row r="32" spans="1:9" x14ac:dyDescent="0.25">
      <c r="A32" t="s">
        <v>39</v>
      </c>
      <c r="B32" t="s">
        <v>509</v>
      </c>
      <c r="C32" t="s">
        <v>519</v>
      </c>
      <c r="D32" t="s">
        <v>524</v>
      </c>
      <c r="E32">
        <v>2025</v>
      </c>
      <c r="F32">
        <v>7.45</v>
      </c>
      <c r="G32">
        <v>296</v>
      </c>
      <c r="H32">
        <v>3.5</v>
      </c>
      <c r="I32">
        <v>1</v>
      </c>
    </row>
    <row r="33" spans="1:9" x14ac:dyDescent="0.25">
      <c r="A33" t="s">
        <v>40</v>
      </c>
      <c r="B33" t="s">
        <v>509</v>
      </c>
      <c r="C33" t="s">
        <v>519</v>
      </c>
      <c r="D33" t="s">
        <v>523</v>
      </c>
      <c r="E33">
        <v>2024</v>
      </c>
      <c r="F33">
        <v>9.83</v>
      </c>
      <c r="G33">
        <v>135</v>
      </c>
      <c r="H33">
        <v>3.1</v>
      </c>
      <c r="I33">
        <v>4</v>
      </c>
    </row>
    <row r="34" spans="1:9" x14ac:dyDescent="0.25">
      <c r="A34" t="s">
        <v>41</v>
      </c>
      <c r="B34" t="s">
        <v>510</v>
      </c>
      <c r="C34" t="s">
        <v>520</v>
      </c>
      <c r="D34" t="s">
        <v>526</v>
      </c>
      <c r="E34">
        <v>2023</v>
      </c>
      <c r="F34">
        <v>3.95</v>
      </c>
      <c r="G34">
        <v>142</v>
      </c>
      <c r="H34">
        <v>3.7</v>
      </c>
      <c r="I34">
        <v>2</v>
      </c>
    </row>
    <row r="35" spans="1:9" x14ac:dyDescent="0.25">
      <c r="A35" t="s">
        <v>42</v>
      </c>
      <c r="B35" t="s">
        <v>515</v>
      </c>
      <c r="C35" t="s">
        <v>520</v>
      </c>
      <c r="D35" t="s">
        <v>530</v>
      </c>
      <c r="E35">
        <v>2023</v>
      </c>
      <c r="F35">
        <v>1.35</v>
      </c>
      <c r="G35">
        <v>276</v>
      </c>
      <c r="H35">
        <v>4.5999999999999996</v>
      </c>
      <c r="I35">
        <v>2</v>
      </c>
    </row>
    <row r="36" spans="1:9" x14ac:dyDescent="0.25">
      <c r="A36" t="s">
        <v>43</v>
      </c>
      <c r="B36" t="s">
        <v>511</v>
      </c>
      <c r="C36" t="s">
        <v>521</v>
      </c>
      <c r="D36" t="s">
        <v>531</v>
      </c>
      <c r="E36">
        <v>2024</v>
      </c>
      <c r="F36">
        <v>3.43</v>
      </c>
      <c r="G36">
        <v>259</v>
      </c>
      <c r="H36">
        <v>4.7</v>
      </c>
      <c r="I36">
        <v>1</v>
      </c>
    </row>
    <row r="37" spans="1:9" x14ac:dyDescent="0.25">
      <c r="A37" t="s">
        <v>44</v>
      </c>
      <c r="B37" t="s">
        <v>518</v>
      </c>
      <c r="C37" t="s">
        <v>519</v>
      </c>
      <c r="D37" t="s">
        <v>528</v>
      </c>
      <c r="E37">
        <v>2023</v>
      </c>
      <c r="F37">
        <v>11.88</v>
      </c>
      <c r="G37">
        <v>215</v>
      </c>
      <c r="H37">
        <v>4.8</v>
      </c>
      <c r="I37">
        <v>8</v>
      </c>
    </row>
    <row r="38" spans="1:9" x14ac:dyDescent="0.25">
      <c r="A38" t="s">
        <v>45</v>
      </c>
      <c r="B38" t="s">
        <v>514</v>
      </c>
      <c r="C38" t="s">
        <v>521</v>
      </c>
      <c r="D38" t="s">
        <v>528</v>
      </c>
      <c r="E38">
        <v>2025</v>
      </c>
      <c r="F38">
        <v>5.79</v>
      </c>
      <c r="G38">
        <v>551</v>
      </c>
      <c r="H38">
        <v>3.9</v>
      </c>
      <c r="I38">
        <v>8</v>
      </c>
    </row>
    <row r="39" spans="1:9" x14ac:dyDescent="0.25">
      <c r="A39" t="s">
        <v>46</v>
      </c>
      <c r="B39" t="s">
        <v>518</v>
      </c>
      <c r="C39" t="s">
        <v>519</v>
      </c>
      <c r="D39" t="s">
        <v>529</v>
      </c>
      <c r="E39">
        <v>2024</v>
      </c>
      <c r="F39">
        <v>5.74</v>
      </c>
      <c r="G39">
        <v>109</v>
      </c>
      <c r="H39">
        <v>3.9</v>
      </c>
      <c r="I39">
        <v>9</v>
      </c>
    </row>
    <row r="40" spans="1:9" x14ac:dyDescent="0.25">
      <c r="A40" t="s">
        <v>47</v>
      </c>
      <c r="B40" t="s">
        <v>513</v>
      </c>
      <c r="C40" t="s">
        <v>519</v>
      </c>
      <c r="D40" t="s">
        <v>527</v>
      </c>
      <c r="E40">
        <v>2023</v>
      </c>
      <c r="F40">
        <v>4.4000000000000004</v>
      </c>
      <c r="G40">
        <v>324</v>
      </c>
      <c r="H40">
        <v>3.8</v>
      </c>
      <c r="I40">
        <v>9</v>
      </c>
    </row>
    <row r="41" spans="1:9" x14ac:dyDescent="0.25">
      <c r="A41" t="s">
        <v>48</v>
      </c>
      <c r="B41" t="s">
        <v>518</v>
      </c>
      <c r="C41" t="s">
        <v>519</v>
      </c>
      <c r="D41" t="s">
        <v>523</v>
      </c>
      <c r="E41">
        <v>2025</v>
      </c>
      <c r="F41">
        <v>4.6399999999999997</v>
      </c>
      <c r="G41">
        <v>175</v>
      </c>
      <c r="H41">
        <v>2.7</v>
      </c>
      <c r="I41">
        <v>2</v>
      </c>
    </row>
    <row r="42" spans="1:9" x14ac:dyDescent="0.25">
      <c r="A42" t="s">
        <v>49</v>
      </c>
      <c r="B42" t="s">
        <v>511</v>
      </c>
      <c r="C42" t="s">
        <v>521</v>
      </c>
      <c r="D42" t="s">
        <v>528</v>
      </c>
      <c r="E42">
        <v>2023</v>
      </c>
      <c r="F42">
        <v>5.71</v>
      </c>
      <c r="G42">
        <v>441</v>
      </c>
      <c r="H42">
        <v>3.1</v>
      </c>
      <c r="I42">
        <v>10</v>
      </c>
    </row>
    <row r="43" spans="1:9" x14ac:dyDescent="0.25">
      <c r="A43" t="s">
        <v>50</v>
      </c>
      <c r="B43" t="s">
        <v>513</v>
      </c>
      <c r="C43" t="s">
        <v>519</v>
      </c>
      <c r="D43" t="s">
        <v>525</v>
      </c>
      <c r="E43">
        <v>2023</v>
      </c>
      <c r="F43">
        <v>7.35</v>
      </c>
      <c r="G43">
        <v>347</v>
      </c>
      <c r="H43">
        <v>3.3</v>
      </c>
      <c r="I43">
        <v>5</v>
      </c>
    </row>
    <row r="44" spans="1:9" x14ac:dyDescent="0.25">
      <c r="A44" t="s">
        <v>51</v>
      </c>
      <c r="B44" t="s">
        <v>511</v>
      </c>
      <c r="C44" t="s">
        <v>521</v>
      </c>
      <c r="D44" t="s">
        <v>527</v>
      </c>
      <c r="E44">
        <v>2023</v>
      </c>
      <c r="F44">
        <v>2.33</v>
      </c>
      <c r="G44">
        <v>217</v>
      </c>
      <c r="H44">
        <v>4.2</v>
      </c>
      <c r="I44">
        <v>5</v>
      </c>
    </row>
    <row r="45" spans="1:9" x14ac:dyDescent="0.25">
      <c r="A45" t="s">
        <v>52</v>
      </c>
      <c r="B45" t="s">
        <v>515</v>
      </c>
      <c r="C45" t="s">
        <v>520</v>
      </c>
      <c r="D45" t="s">
        <v>527</v>
      </c>
      <c r="E45">
        <v>2023</v>
      </c>
      <c r="F45">
        <v>1.07</v>
      </c>
      <c r="G45">
        <v>318</v>
      </c>
      <c r="H45">
        <v>5</v>
      </c>
      <c r="I45">
        <v>2</v>
      </c>
    </row>
    <row r="46" spans="1:9" x14ac:dyDescent="0.25">
      <c r="A46" t="s">
        <v>53</v>
      </c>
      <c r="B46" t="s">
        <v>509</v>
      </c>
      <c r="C46" t="s">
        <v>519</v>
      </c>
      <c r="D46" t="s">
        <v>530</v>
      </c>
      <c r="E46">
        <v>2023</v>
      </c>
      <c r="F46">
        <v>8.0500000000000007</v>
      </c>
      <c r="G46">
        <v>147</v>
      </c>
      <c r="H46">
        <v>4.8</v>
      </c>
      <c r="I46">
        <v>2</v>
      </c>
    </row>
    <row r="47" spans="1:9" x14ac:dyDescent="0.25">
      <c r="A47" t="s">
        <v>54</v>
      </c>
      <c r="B47" t="s">
        <v>511</v>
      </c>
      <c r="C47" t="s">
        <v>521</v>
      </c>
      <c r="D47" t="s">
        <v>527</v>
      </c>
      <c r="E47">
        <v>2024</v>
      </c>
      <c r="F47">
        <v>1.79</v>
      </c>
      <c r="G47">
        <v>576</v>
      </c>
      <c r="H47">
        <v>3.9</v>
      </c>
      <c r="I47">
        <v>5</v>
      </c>
    </row>
    <row r="48" spans="1:9" x14ac:dyDescent="0.25">
      <c r="A48" t="s">
        <v>55</v>
      </c>
      <c r="B48" t="s">
        <v>517</v>
      </c>
      <c r="C48" t="s">
        <v>522</v>
      </c>
      <c r="D48" t="s">
        <v>530</v>
      </c>
      <c r="E48">
        <v>2023</v>
      </c>
      <c r="F48">
        <v>7.68</v>
      </c>
      <c r="G48">
        <v>483</v>
      </c>
      <c r="H48">
        <v>3.2</v>
      </c>
      <c r="I48">
        <v>2</v>
      </c>
    </row>
    <row r="49" spans="1:9" x14ac:dyDescent="0.25">
      <c r="A49" t="s">
        <v>56</v>
      </c>
      <c r="B49" t="s">
        <v>518</v>
      </c>
      <c r="C49" t="s">
        <v>519</v>
      </c>
      <c r="D49" t="s">
        <v>532</v>
      </c>
      <c r="E49">
        <v>2023</v>
      </c>
      <c r="F49">
        <v>11.12</v>
      </c>
      <c r="G49">
        <v>159</v>
      </c>
      <c r="H49">
        <v>3.2</v>
      </c>
      <c r="I49">
        <v>10</v>
      </c>
    </row>
    <row r="50" spans="1:9" x14ac:dyDescent="0.25">
      <c r="A50" t="s">
        <v>57</v>
      </c>
      <c r="B50" t="s">
        <v>511</v>
      </c>
      <c r="C50" t="s">
        <v>521</v>
      </c>
      <c r="D50" t="s">
        <v>527</v>
      </c>
      <c r="E50">
        <v>2023</v>
      </c>
      <c r="F50">
        <v>4.4400000000000004</v>
      </c>
      <c r="G50">
        <v>586</v>
      </c>
      <c r="H50">
        <v>3.2</v>
      </c>
      <c r="I50">
        <v>8</v>
      </c>
    </row>
    <row r="51" spans="1:9" x14ac:dyDescent="0.25">
      <c r="A51" t="s">
        <v>58</v>
      </c>
      <c r="B51" t="s">
        <v>514</v>
      </c>
      <c r="C51" t="s">
        <v>521</v>
      </c>
      <c r="D51" t="s">
        <v>523</v>
      </c>
      <c r="E51">
        <v>2023</v>
      </c>
      <c r="F51">
        <v>4.17</v>
      </c>
      <c r="G51">
        <v>574</v>
      </c>
      <c r="H51">
        <v>3.2</v>
      </c>
      <c r="I51">
        <v>1</v>
      </c>
    </row>
    <row r="52" spans="1:9" x14ac:dyDescent="0.25">
      <c r="A52" t="s">
        <v>59</v>
      </c>
      <c r="B52" t="s">
        <v>516</v>
      </c>
      <c r="C52" t="s">
        <v>521</v>
      </c>
      <c r="D52" t="s">
        <v>531</v>
      </c>
      <c r="E52">
        <v>2025</v>
      </c>
      <c r="F52">
        <v>5.9</v>
      </c>
      <c r="G52">
        <v>232</v>
      </c>
      <c r="H52">
        <v>4.4000000000000004</v>
      </c>
      <c r="I52">
        <v>9</v>
      </c>
    </row>
    <row r="53" spans="1:9" x14ac:dyDescent="0.25">
      <c r="A53" t="s">
        <v>60</v>
      </c>
      <c r="B53" t="s">
        <v>512</v>
      </c>
      <c r="C53" t="s">
        <v>520</v>
      </c>
      <c r="D53" t="s">
        <v>530</v>
      </c>
      <c r="E53">
        <v>2023</v>
      </c>
      <c r="F53">
        <v>1.78</v>
      </c>
      <c r="G53">
        <v>76</v>
      </c>
      <c r="H53">
        <v>3.9</v>
      </c>
      <c r="I53">
        <v>6</v>
      </c>
    </row>
    <row r="54" spans="1:9" x14ac:dyDescent="0.25">
      <c r="A54" t="s">
        <v>61</v>
      </c>
      <c r="B54" t="s">
        <v>517</v>
      </c>
      <c r="C54" t="s">
        <v>522</v>
      </c>
      <c r="D54" t="s">
        <v>530</v>
      </c>
      <c r="E54">
        <v>2023</v>
      </c>
      <c r="F54">
        <v>6.01</v>
      </c>
      <c r="G54">
        <v>221</v>
      </c>
      <c r="H54">
        <v>3.3</v>
      </c>
      <c r="I54">
        <v>1</v>
      </c>
    </row>
    <row r="55" spans="1:9" x14ac:dyDescent="0.25">
      <c r="A55" t="s">
        <v>62</v>
      </c>
      <c r="B55" t="s">
        <v>516</v>
      </c>
      <c r="C55" t="s">
        <v>521</v>
      </c>
      <c r="D55" t="s">
        <v>529</v>
      </c>
      <c r="E55">
        <v>2025</v>
      </c>
      <c r="F55">
        <v>2.25</v>
      </c>
      <c r="G55">
        <v>202</v>
      </c>
      <c r="H55">
        <v>3.4</v>
      </c>
      <c r="I55">
        <v>9</v>
      </c>
    </row>
    <row r="56" spans="1:9" x14ac:dyDescent="0.25">
      <c r="A56" t="s">
        <v>63</v>
      </c>
      <c r="B56" t="s">
        <v>512</v>
      </c>
      <c r="C56" t="s">
        <v>520</v>
      </c>
      <c r="D56" t="s">
        <v>525</v>
      </c>
      <c r="E56">
        <v>2025</v>
      </c>
      <c r="F56">
        <v>2.08</v>
      </c>
      <c r="G56">
        <v>121</v>
      </c>
      <c r="H56">
        <v>4.7</v>
      </c>
      <c r="I56">
        <v>3</v>
      </c>
    </row>
    <row r="57" spans="1:9" x14ac:dyDescent="0.25">
      <c r="A57" t="s">
        <v>64</v>
      </c>
      <c r="B57" t="s">
        <v>512</v>
      </c>
      <c r="C57" t="s">
        <v>520</v>
      </c>
      <c r="D57" t="s">
        <v>523</v>
      </c>
      <c r="E57">
        <v>2023</v>
      </c>
      <c r="F57">
        <v>6.16</v>
      </c>
      <c r="G57">
        <v>170</v>
      </c>
      <c r="H57">
        <v>4.5</v>
      </c>
      <c r="I57">
        <v>7</v>
      </c>
    </row>
    <row r="58" spans="1:9" x14ac:dyDescent="0.25">
      <c r="A58" t="s">
        <v>65</v>
      </c>
      <c r="B58" t="s">
        <v>511</v>
      </c>
      <c r="C58" t="s">
        <v>521</v>
      </c>
      <c r="D58" t="s">
        <v>532</v>
      </c>
      <c r="E58">
        <v>2023</v>
      </c>
      <c r="F58">
        <v>4.9400000000000004</v>
      </c>
      <c r="G58">
        <v>205</v>
      </c>
      <c r="H58">
        <v>3.5</v>
      </c>
      <c r="I58">
        <v>1</v>
      </c>
    </row>
    <row r="59" spans="1:9" x14ac:dyDescent="0.25">
      <c r="A59" t="s">
        <v>66</v>
      </c>
      <c r="B59" t="s">
        <v>515</v>
      </c>
      <c r="C59" t="s">
        <v>520</v>
      </c>
      <c r="D59" t="s">
        <v>529</v>
      </c>
      <c r="E59">
        <v>2023</v>
      </c>
      <c r="F59">
        <v>6.72</v>
      </c>
      <c r="G59">
        <v>235</v>
      </c>
      <c r="H59">
        <v>3.4</v>
      </c>
      <c r="I59">
        <v>4</v>
      </c>
    </row>
    <row r="60" spans="1:9" x14ac:dyDescent="0.25">
      <c r="A60" t="s">
        <v>67</v>
      </c>
      <c r="B60" t="s">
        <v>511</v>
      </c>
      <c r="C60" t="s">
        <v>521</v>
      </c>
      <c r="D60" t="s">
        <v>523</v>
      </c>
      <c r="E60">
        <v>2025</v>
      </c>
      <c r="F60">
        <v>1.97</v>
      </c>
      <c r="G60">
        <v>318</v>
      </c>
      <c r="H60">
        <v>3.2</v>
      </c>
      <c r="I60">
        <v>2</v>
      </c>
    </row>
    <row r="61" spans="1:9" x14ac:dyDescent="0.25">
      <c r="A61" t="s">
        <v>68</v>
      </c>
      <c r="B61" t="s">
        <v>514</v>
      </c>
      <c r="C61" t="s">
        <v>521</v>
      </c>
      <c r="D61" t="s">
        <v>527</v>
      </c>
      <c r="E61">
        <v>2025</v>
      </c>
      <c r="F61">
        <v>3.55</v>
      </c>
      <c r="G61">
        <v>497</v>
      </c>
      <c r="H61">
        <v>5</v>
      </c>
      <c r="I61">
        <v>9</v>
      </c>
    </row>
    <row r="62" spans="1:9" x14ac:dyDescent="0.25">
      <c r="A62" t="s">
        <v>69</v>
      </c>
      <c r="B62" t="s">
        <v>516</v>
      </c>
      <c r="C62" t="s">
        <v>521</v>
      </c>
      <c r="D62" t="s">
        <v>523</v>
      </c>
      <c r="E62">
        <v>2023</v>
      </c>
      <c r="F62">
        <v>5.39</v>
      </c>
      <c r="G62">
        <v>283</v>
      </c>
      <c r="H62">
        <v>2.9</v>
      </c>
      <c r="I62">
        <v>5</v>
      </c>
    </row>
    <row r="63" spans="1:9" x14ac:dyDescent="0.25">
      <c r="A63" t="s">
        <v>70</v>
      </c>
      <c r="B63" t="s">
        <v>513</v>
      </c>
      <c r="C63" t="s">
        <v>519</v>
      </c>
      <c r="D63" t="s">
        <v>524</v>
      </c>
      <c r="E63">
        <v>2025</v>
      </c>
      <c r="F63">
        <v>7.48</v>
      </c>
      <c r="G63">
        <v>240</v>
      </c>
      <c r="H63">
        <v>3.6</v>
      </c>
      <c r="I63">
        <v>9</v>
      </c>
    </row>
    <row r="64" spans="1:9" x14ac:dyDescent="0.25">
      <c r="A64" t="s">
        <v>71</v>
      </c>
      <c r="B64" t="s">
        <v>509</v>
      </c>
      <c r="C64" t="s">
        <v>519</v>
      </c>
      <c r="D64" t="s">
        <v>528</v>
      </c>
      <c r="E64">
        <v>2025</v>
      </c>
      <c r="F64">
        <v>5.52</v>
      </c>
      <c r="G64">
        <v>102</v>
      </c>
      <c r="H64">
        <v>4.3</v>
      </c>
      <c r="I64">
        <v>1</v>
      </c>
    </row>
    <row r="65" spans="1:9" x14ac:dyDescent="0.25">
      <c r="A65" t="s">
        <v>72</v>
      </c>
      <c r="B65" t="s">
        <v>510</v>
      </c>
      <c r="C65" t="s">
        <v>520</v>
      </c>
      <c r="D65" t="s">
        <v>530</v>
      </c>
      <c r="E65">
        <v>2025</v>
      </c>
      <c r="F65">
        <v>6.04</v>
      </c>
      <c r="G65">
        <v>343</v>
      </c>
      <c r="H65">
        <v>3</v>
      </c>
      <c r="I65">
        <v>7</v>
      </c>
    </row>
    <row r="66" spans="1:9" x14ac:dyDescent="0.25">
      <c r="A66" t="s">
        <v>73</v>
      </c>
      <c r="B66" t="s">
        <v>509</v>
      </c>
      <c r="C66" t="s">
        <v>519</v>
      </c>
      <c r="D66" t="s">
        <v>527</v>
      </c>
      <c r="E66">
        <v>2025</v>
      </c>
      <c r="F66">
        <v>6.51</v>
      </c>
      <c r="G66">
        <v>143</v>
      </c>
      <c r="H66">
        <v>4.3</v>
      </c>
      <c r="I66">
        <v>5</v>
      </c>
    </row>
    <row r="67" spans="1:9" x14ac:dyDescent="0.25">
      <c r="A67" t="s">
        <v>74</v>
      </c>
      <c r="B67" t="s">
        <v>510</v>
      </c>
      <c r="C67" t="s">
        <v>520</v>
      </c>
      <c r="D67" t="s">
        <v>532</v>
      </c>
      <c r="E67">
        <v>2025</v>
      </c>
      <c r="F67">
        <v>3.86</v>
      </c>
      <c r="G67">
        <v>206</v>
      </c>
      <c r="H67">
        <v>4.2</v>
      </c>
      <c r="I67">
        <v>9</v>
      </c>
    </row>
    <row r="68" spans="1:9" x14ac:dyDescent="0.25">
      <c r="A68" t="s">
        <v>75</v>
      </c>
      <c r="B68" t="s">
        <v>518</v>
      </c>
      <c r="C68" t="s">
        <v>519</v>
      </c>
      <c r="D68" t="s">
        <v>529</v>
      </c>
      <c r="E68">
        <v>2024</v>
      </c>
      <c r="F68">
        <v>9.32</v>
      </c>
      <c r="G68">
        <v>274</v>
      </c>
      <c r="H68">
        <v>4.2</v>
      </c>
      <c r="I68">
        <v>3</v>
      </c>
    </row>
    <row r="69" spans="1:9" x14ac:dyDescent="0.25">
      <c r="A69" t="s">
        <v>76</v>
      </c>
      <c r="B69" t="s">
        <v>517</v>
      </c>
      <c r="C69" t="s">
        <v>522</v>
      </c>
      <c r="D69" t="s">
        <v>525</v>
      </c>
      <c r="E69">
        <v>2024</v>
      </c>
      <c r="F69">
        <v>5.84</v>
      </c>
      <c r="G69">
        <v>200</v>
      </c>
      <c r="H69">
        <v>3.3</v>
      </c>
      <c r="I69">
        <v>4</v>
      </c>
    </row>
    <row r="70" spans="1:9" x14ac:dyDescent="0.25">
      <c r="A70" t="s">
        <v>77</v>
      </c>
      <c r="B70" t="s">
        <v>512</v>
      </c>
      <c r="C70" t="s">
        <v>520</v>
      </c>
      <c r="D70" t="s">
        <v>525</v>
      </c>
      <c r="E70">
        <v>2025</v>
      </c>
      <c r="F70">
        <v>5.58</v>
      </c>
      <c r="G70">
        <v>238</v>
      </c>
      <c r="H70">
        <v>3.6</v>
      </c>
      <c r="I70">
        <v>4</v>
      </c>
    </row>
    <row r="71" spans="1:9" x14ac:dyDescent="0.25">
      <c r="A71" t="s">
        <v>78</v>
      </c>
      <c r="B71" t="s">
        <v>510</v>
      </c>
      <c r="C71" t="s">
        <v>520</v>
      </c>
      <c r="D71" t="s">
        <v>526</v>
      </c>
      <c r="E71">
        <v>2025</v>
      </c>
      <c r="F71">
        <v>2.19</v>
      </c>
      <c r="G71">
        <v>43</v>
      </c>
      <c r="H71">
        <v>3.2</v>
      </c>
      <c r="I71">
        <v>10</v>
      </c>
    </row>
    <row r="72" spans="1:9" x14ac:dyDescent="0.25">
      <c r="A72" t="s">
        <v>79</v>
      </c>
      <c r="B72" t="s">
        <v>516</v>
      </c>
      <c r="C72" t="s">
        <v>521</v>
      </c>
      <c r="D72" t="s">
        <v>524</v>
      </c>
      <c r="E72">
        <v>2023</v>
      </c>
      <c r="F72">
        <v>4.3600000000000003</v>
      </c>
      <c r="G72">
        <v>265</v>
      </c>
      <c r="H72">
        <v>4.5</v>
      </c>
      <c r="I72">
        <v>3</v>
      </c>
    </row>
    <row r="73" spans="1:9" x14ac:dyDescent="0.25">
      <c r="A73" t="s">
        <v>80</v>
      </c>
      <c r="B73" t="s">
        <v>513</v>
      </c>
      <c r="C73" t="s">
        <v>519</v>
      </c>
      <c r="D73" t="s">
        <v>523</v>
      </c>
      <c r="E73">
        <v>2023</v>
      </c>
      <c r="F73">
        <v>11.87</v>
      </c>
      <c r="G73">
        <v>117</v>
      </c>
      <c r="H73">
        <v>3.6</v>
      </c>
      <c r="I73">
        <v>10</v>
      </c>
    </row>
    <row r="74" spans="1:9" x14ac:dyDescent="0.25">
      <c r="A74" t="s">
        <v>81</v>
      </c>
      <c r="B74" t="s">
        <v>511</v>
      </c>
      <c r="C74" t="s">
        <v>521</v>
      </c>
      <c r="D74" t="s">
        <v>528</v>
      </c>
      <c r="E74">
        <v>2024</v>
      </c>
      <c r="F74">
        <v>3</v>
      </c>
      <c r="G74">
        <v>225</v>
      </c>
      <c r="H74">
        <v>4.0999999999999996</v>
      </c>
      <c r="I74">
        <v>1</v>
      </c>
    </row>
    <row r="75" spans="1:9" x14ac:dyDescent="0.25">
      <c r="A75" t="s">
        <v>82</v>
      </c>
      <c r="B75" t="s">
        <v>509</v>
      </c>
      <c r="C75" t="s">
        <v>519</v>
      </c>
      <c r="D75" t="s">
        <v>528</v>
      </c>
      <c r="E75">
        <v>2023</v>
      </c>
      <c r="F75">
        <v>5.41</v>
      </c>
      <c r="G75">
        <v>345</v>
      </c>
      <c r="H75">
        <v>3.7</v>
      </c>
      <c r="I75">
        <v>9</v>
      </c>
    </row>
    <row r="76" spans="1:9" x14ac:dyDescent="0.25">
      <c r="A76" t="s">
        <v>83</v>
      </c>
      <c r="B76" t="s">
        <v>511</v>
      </c>
      <c r="C76" t="s">
        <v>521</v>
      </c>
      <c r="D76" t="s">
        <v>524</v>
      </c>
      <c r="E76">
        <v>2024</v>
      </c>
      <c r="F76">
        <v>1.67</v>
      </c>
      <c r="G76">
        <v>387</v>
      </c>
      <c r="H76">
        <v>4.2</v>
      </c>
      <c r="I76">
        <v>9</v>
      </c>
    </row>
    <row r="77" spans="1:9" x14ac:dyDescent="0.25">
      <c r="A77" t="s">
        <v>84</v>
      </c>
      <c r="B77" t="s">
        <v>517</v>
      </c>
      <c r="C77" t="s">
        <v>522</v>
      </c>
      <c r="D77" t="s">
        <v>527</v>
      </c>
      <c r="E77">
        <v>2024</v>
      </c>
      <c r="F77">
        <v>7.29</v>
      </c>
      <c r="G77">
        <v>458</v>
      </c>
      <c r="H77">
        <v>3.6</v>
      </c>
      <c r="I77">
        <v>9</v>
      </c>
    </row>
    <row r="78" spans="1:9" x14ac:dyDescent="0.25">
      <c r="A78" t="s">
        <v>85</v>
      </c>
      <c r="B78" t="s">
        <v>515</v>
      </c>
      <c r="C78" t="s">
        <v>520</v>
      </c>
      <c r="D78" t="s">
        <v>531</v>
      </c>
      <c r="E78">
        <v>2025</v>
      </c>
      <c r="F78">
        <v>7.03</v>
      </c>
      <c r="G78">
        <v>230</v>
      </c>
      <c r="H78">
        <v>3.1</v>
      </c>
      <c r="I78">
        <v>4</v>
      </c>
    </row>
    <row r="79" spans="1:9" x14ac:dyDescent="0.25">
      <c r="A79" t="s">
        <v>86</v>
      </c>
      <c r="B79" t="s">
        <v>514</v>
      </c>
      <c r="C79" t="s">
        <v>521</v>
      </c>
      <c r="D79" t="s">
        <v>530</v>
      </c>
      <c r="E79">
        <v>2024</v>
      </c>
      <c r="F79">
        <v>4.13</v>
      </c>
      <c r="G79">
        <v>290</v>
      </c>
      <c r="H79">
        <v>3.6</v>
      </c>
      <c r="I79">
        <v>5</v>
      </c>
    </row>
    <row r="80" spans="1:9" x14ac:dyDescent="0.25">
      <c r="A80" t="s">
        <v>87</v>
      </c>
      <c r="B80" t="s">
        <v>511</v>
      </c>
      <c r="C80" t="s">
        <v>521</v>
      </c>
      <c r="D80" t="s">
        <v>532</v>
      </c>
      <c r="E80">
        <v>2024</v>
      </c>
      <c r="F80">
        <v>2.6</v>
      </c>
      <c r="G80">
        <v>426</v>
      </c>
      <c r="H80">
        <v>2.7</v>
      </c>
      <c r="I80">
        <v>3</v>
      </c>
    </row>
    <row r="81" spans="1:9" x14ac:dyDescent="0.25">
      <c r="A81" t="s">
        <v>88</v>
      </c>
      <c r="B81" t="s">
        <v>511</v>
      </c>
      <c r="C81" t="s">
        <v>521</v>
      </c>
      <c r="D81" t="s">
        <v>528</v>
      </c>
      <c r="E81">
        <v>2025</v>
      </c>
      <c r="F81">
        <v>1.76</v>
      </c>
      <c r="G81">
        <v>259</v>
      </c>
      <c r="H81">
        <v>2.7</v>
      </c>
      <c r="I81">
        <v>7</v>
      </c>
    </row>
    <row r="82" spans="1:9" x14ac:dyDescent="0.25">
      <c r="A82" t="s">
        <v>89</v>
      </c>
      <c r="B82" t="s">
        <v>516</v>
      </c>
      <c r="C82" t="s">
        <v>521</v>
      </c>
      <c r="D82" t="s">
        <v>530</v>
      </c>
      <c r="E82">
        <v>2024</v>
      </c>
      <c r="F82">
        <v>3.08</v>
      </c>
      <c r="G82">
        <v>255</v>
      </c>
      <c r="H82">
        <v>4.5999999999999996</v>
      </c>
      <c r="I82">
        <v>7</v>
      </c>
    </row>
    <row r="83" spans="1:9" x14ac:dyDescent="0.25">
      <c r="A83" t="s">
        <v>90</v>
      </c>
      <c r="B83" t="s">
        <v>517</v>
      </c>
      <c r="C83" t="s">
        <v>522</v>
      </c>
      <c r="D83" t="s">
        <v>523</v>
      </c>
      <c r="E83">
        <v>2025</v>
      </c>
      <c r="F83">
        <v>5.66</v>
      </c>
      <c r="G83">
        <v>203</v>
      </c>
      <c r="H83">
        <v>4.9000000000000004</v>
      </c>
      <c r="I83">
        <v>5</v>
      </c>
    </row>
    <row r="84" spans="1:9" x14ac:dyDescent="0.25">
      <c r="A84" t="s">
        <v>91</v>
      </c>
      <c r="B84" t="s">
        <v>512</v>
      </c>
      <c r="C84" t="s">
        <v>520</v>
      </c>
      <c r="D84" t="s">
        <v>528</v>
      </c>
      <c r="E84">
        <v>2025</v>
      </c>
      <c r="F84">
        <v>6.23</v>
      </c>
      <c r="G84">
        <v>279</v>
      </c>
      <c r="H84">
        <v>4.5</v>
      </c>
      <c r="I84">
        <v>4</v>
      </c>
    </row>
    <row r="85" spans="1:9" x14ac:dyDescent="0.25">
      <c r="A85" t="s">
        <v>92</v>
      </c>
      <c r="B85" t="s">
        <v>515</v>
      </c>
      <c r="C85" t="s">
        <v>520</v>
      </c>
      <c r="D85" t="s">
        <v>529</v>
      </c>
      <c r="E85">
        <v>2024</v>
      </c>
      <c r="F85">
        <v>4.05</v>
      </c>
      <c r="G85">
        <v>14</v>
      </c>
      <c r="H85">
        <v>3.5</v>
      </c>
      <c r="I85">
        <v>7</v>
      </c>
    </row>
    <row r="86" spans="1:9" x14ac:dyDescent="0.25">
      <c r="A86" t="s">
        <v>93</v>
      </c>
      <c r="B86" t="s">
        <v>518</v>
      </c>
      <c r="C86" t="s">
        <v>519</v>
      </c>
      <c r="D86" t="s">
        <v>526</v>
      </c>
      <c r="E86">
        <v>2023</v>
      </c>
      <c r="F86">
        <v>11.85</v>
      </c>
      <c r="G86">
        <v>93</v>
      </c>
      <c r="H86">
        <v>4.8</v>
      </c>
      <c r="I86">
        <v>10</v>
      </c>
    </row>
    <row r="87" spans="1:9" x14ac:dyDescent="0.25">
      <c r="A87" t="s">
        <v>94</v>
      </c>
      <c r="B87" t="s">
        <v>517</v>
      </c>
      <c r="C87" t="s">
        <v>522</v>
      </c>
      <c r="D87" t="s">
        <v>523</v>
      </c>
      <c r="E87">
        <v>2023</v>
      </c>
      <c r="F87">
        <v>7.5</v>
      </c>
      <c r="G87">
        <v>269</v>
      </c>
      <c r="H87">
        <v>4.7</v>
      </c>
      <c r="I87">
        <v>3</v>
      </c>
    </row>
    <row r="88" spans="1:9" x14ac:dyDescent="0.25">
      <c r="A88" t="s">
        <v>95</v>
      </c>
      <c r="B88" t="s">
        <v>513</v>
      </c>
      <c r="C88" t="s">
        <v>519</v>
      </c>
      <c r="D88" t="s">
        <v>532</v>
      </c>
      <c r="E88">
        <v>2024</v>
      </c>
      <c r="F88">
        <v>6.62</v>
      </c>
      <c r="G88">
        <v>312</v>
      </c>
      <c r="H88">
        <v>3.3</v>
      </c>
      <c r="I88">
        <v>7</v>
      </c>
    </row>
    <row r="89" spans="1:9" x14ac:dyDescent="0.25">
      <c r="A89" t="s">
        <v>96</v>
      </c>
      <c r="B89" t="s">
        <v>514</v>
      </c>
      <c r="C89" t="s">
        <v>521</v>
      </c>
      <c r="D89" t="s">
        <v>528</v>
      </c>
      <c r="E89">
        <v>2024</v>
      </c>
      <c r="F89">
        <v>5.17</v>
      </c>
      <c r="G89">
        <v>390</v>
      </c>
      <c r="H89">
        <v>2.5</v>
      </c>
      <c r="I89">
        <v>9</v>
      </c>
    </row>
    <row r="90" spans="1:9" x14ac:dyDescent="0.25">
      <c r="A90" t="s">
        <v>97</v>
      </c>
      <c r="B90" t="s">
        <v>513</v>
      </c>
      <c r="C90" t="s">
        <v>519</v>
      </c>
      <c r="D90" t="s">
        <v>527</v>
      </c>
      <c r="E90">
        <v>2023</v>
      </c>
      <c r="F90">
        <v>9.1999999999999993</v>
      </c>
      <c r="G90">
        <v>100</v>
      </c>
      <c r="H90">
        <v>4.4000000000000004</v>
      </c>
      <c r="I90">
        <v>4</v>
      </c>
    </row>
    <row r="91" spans="1:9" x14ac:dyDescent="0.25">
      <c r="A91" t="s">
        <v>98</v>
      </c>
      <c r="B91" t="s">
        <v>511</v>
      </c>
      <c r="C91" t="s">
        <v>521</v>
      </c>
      <c r="D91" t="s">
        <v>523</v>
      </c>
      <c r="E91">
        <v>2025</v>
      </c>
      <c r="F91">
        <v>1.76</v>
      </c>
      <c r="G91">
        <v>214</v>
      </c>
      <c r="H91">
        <v>3.7</v>
      </c>
      <c r="I91">
        <v>2</v>
      </c>
    </row>
    <row r="92" spans="1:9" x14ac:dyDescent="0.25">
      <c r="A92" t="s">
        <v>99</v>
      </c>
      <c r="B92" t="s">
        <v>517</v>
      </c>
      <c r="C92" t="s">
        <v>522</v>
      </c>
      <c r="D92" t="s">
        <v>529</v>
      </c>
      <c r="E92">
        <v>2024</v>
      </c>
      <c r="F92">
        <v>7.9</v>
      </c>
      <c r="G92">
        <v>388</v>
      </c>
      <c r="H92">
        <v>2.9</v>
      </c>
      <c r="I92">
        <v>10</v>
      </c>
    </row>
    <row r="93" spans="1:9" x14ac:dyDescent="0.25">
      <c r="A93" t="s">
        <v>100</v>
      </c>
      <c r="B93" t="s">
        <v>509</v>
      </c>
      <c r="C93" t="s">
        <v>519</v>
      </c>
      <c r="D93" t="s">
        <v>531</v>
      </c>
      <c r="E93">
        <v>2024</v>
      </c>
      <c r="F93">
        <v>4.8600000000000003</v>
      </c>
      <c r="G93">
        <v>93</v>
      </c>
      <c r="H93">
        <v>4.8</v>
      </c>
      <c r="I93">
        <v>10</v>
      </c>
    </row>
    <row r="94" spans="1:9" x14ac:dyDescent="0.25">
      <c r="A94" t="s">
        <v>101</v>
      </c>
      <c r="B94" t="s">
        <v>512</v>
      </c>
      <c r="C94" t="s">
        <v>520</v>
      </c>
      <c r="D94" t="s">
        <v>528</v>
      </c>
      <c r="E94">
        <v>2025</v>
      </c>
      <c r="F94">
        <v>2.39</v>
      </c>
      <c r="G94">
        <v>303</v>
      </c>
      <c r="H94">
        <v>4.2</v>
      </c>
      <c r="I94">
        <v>4</v>
      </c>
    </row>
    <row r="95" spans="1:9" x14ac:dyDescent="0.25">
      <c r="A95" t="s">
        <v>102</v>
      </c>
      <c r="B95" t="s">
        <v>509</v>
      </c>
      <c r="C95" t="s">
        <v>519</v>
      </c>
      <c r="D95" t="s">
        <v>532</v>
      </c>
      <c r="E95">
        <v>2025</v>
      </c>
      <c r="F95">
        <v>8.8000000000000007</v>
      </c>
      <c r="G95">
        <v>141</v>
      </c>
      <c r="H95">
        <v>4.5</v>
      </c>
      <c r="I95">
        <v>10</v>
      </c>
    </row>
    <row r="96" spans="1:9" x14ac:dyDescent="0.25">
      <c r="A96" t="s">
        <v>103</v>
      </c>
      <c r="B96" t="s">
        <v>513</v>
      </c>
      <c r="C96" t="s">
        <v>519</v>
      </c>
      <c r="D96" t="s">
        <v>527</v>
      </c>
      <c r="E96">
        <v>2025</v>
      </c>
      <c r="F96">
        <v>7.43</v>
      </c>
      <c r="G96">
        <v>269</v>
      </c>
      <c r="H96">
        <v>2.7</v>
      </c>
      <c r="I96">
        <v>6</v>
      </c>
    </row>
    <row r="97" spans="1:9" x14ac:dyDescent="0.25">
      <c r="A97" t="s">
        <v>104</v>
      </c>
      <c r="B97" t="s">
        <v>513</v>
      </c>
      <c r="C97" t="s">
        <v>519</v>
      </c>
      <c r="D97" t="s">
        <v>528</v>
      </c>
      <c r="E97">
        <v>2024</v>
      </c>
      <c r="F97">
        <v>4.84</v>
      </c>
      <c r="G97">
        <v>265</v>
      </c>
      <c r="H97">
        <v>4.0999999999999996</v>
      </c>
      <c r="I97">
        <v>8</v>
      </c>
    </row>
    <row r="98" spans="1:9" x14ac:dyDescent="0.25">
      <c r="A98" t="s">
        <v>105</v>
      </c>
      <c r="B98" t="s">
        <v>518</v>
      </c>
      <c r="C98" t="s">
        <v>519</v>
      </c>
      <c r="D98" t="s">
        <v>528</v>
      </c>
      <c r="E98">
        <v>2023</v>
      </c>
      <c r="F98">
        <v>9.8699999999999992</v>
      </c>
      <c r="G98">
        <v>218</v>
      </c>
      <c r="H98">
        <v>4</v>
      </c>
      <c r="I98">
        <v>9</v>
      </c>
    </row>
    <row r="99" spans="1:9" x14ac:dyDescent="0.25">
      <c r="A99" t="s">
        <v>106</v>
      </c>
      <c r="B99" t="s">
        <v>515</v>
      </c>
      <c r="C99" t="s">
        <v>520</v>
      </c>
      <c r="D99" t="s">
        <v>526</v>
      </c>
      <c r="E99">
        <v>2024</v>
      </c>
      <c r="F99">
        <v>6.78</v>
      </c>
      <c r="G99">
        <v>303</v>
      </c>
      <c r="H99">
        <v>3.2</v>
      </c>
      <c r="I99">
        <v>4</v>
      </c>
    </row>
    <row r="100" spans="1:9" x14ac:dyDescent="0.25">
      <c r="A100" t="s">
        <v>107</v>
      </c>
      <c r="B100" t="s">
        <v>509</v>
      </c>
      <c r="C100" t="s">
        <v>519</v>
      </c>
      <c r="D100" t="s">
        <v>532</v>
      </c>
      <c r="E100">
        <v>2024</v>
      </c>
      <c r="F100">
        <v>5.95</v>
      </c>
      <c r="G100">
        <v>317</v>
      </c>
      <c r="H100">
        <v>3.9</v>
      </c>
      <c r="I100">
        <v>7</v>
      </c>
    </row>
    <row r="101" spans="1:9" x14ac:dyDescent="0.25">
      <c r="A101" t="s">
        <v>108</v>
      </c>
      <c r="B101" t="s">
        <v>516</v>
      </c>
      <c r="C101" t="s">
        <v>521</v>
      </c>
      <c r="D101" t="s">
        <v>523</v>
      </c>
      <c r="E101">
        <v>2024</v>
      </c>
      <c r="F101">
        <v>5.25</v>
      </c>
      <c r="G101">
        <v>243</v>
      </c>
      <c r="H101">
        <v>3.7</v>
      </c>
      <c r="I101">
        <v>6</v>
      </c>
    </row>
    <row r="102" spans="1:9" x14ac:dyDescent="0.25">
      <c r="A102" t="s">
        <v>109</v>
      </c>
      <c r="B102" t="s">
        <v>514</v>
      </c>
      <c r="C102" t="s">
        <v>521</v>
      </c>
      <c r="D102" t="s">
        <v>527</v>
      </c>
      <c r="E102">
        <v>2024</v>
      </c>
      <c r="F102">
        <v>5.4</v>
      </c>
      <c r="G102">
        <v>509</v>
      </c>
      <c r="H102">
        <v>4.7</v>
      </c>
      <c r="I102">
        <v>9</v>
      </c>
    </row>
    <row r="103" spans="1:9" x14ac:dyDescent="0.25">
      <c r="A103" t="s">
        <v>110</v>
      </c>
      <c r="B103" t="s">
        <v>513</v>
      </c>
      <c r="C103" t="s">
        <v>519</v>
      </c>
      <c r="D103" t="s">
        <v>530</v>
      </c>
      <c r="E103">
        <v>2023</v>
      </c>
      <c r="F103">
        <v>4.68</v>
      </c>
      <c r="G103">
        <v>288</v>
      </c>
      <c r="H103">
        <v>3.7</v>
      </c>
      <c r="I103">
        <v>4</v>
      </c>
    </row>
    <row r="104" spans="1:9" x14ac:dyDescent="0.25">
      <c r="A104" t="s">
        <v>111</v>
      </c>
      <c r="B104" t="s">
        <v>515</v>
      </c>
      <c r="C104" t="s">
        <v>520</v>
      </c>
      <c r="D104" t="s">
        <v>526</v>
      </c>
      <c r="E104">
        <v>2024</v>
      </c>
      <c r="F104">
        <v>6.55</v>
      </c>
      <c r="G104">
        <v>47</v>
      </c>
      <c r="H104">
        <v>3.2</v>
      </c>
      <c r="I104">
        <v>7</v>
      </c>
    </row>
    <row r="105" spans="1:9" x14ac:dyDescent="0.25">
      <c r="A105" t="s">
        <v>112</v>
      </c>
      <c r="B105" t="s">
        <v>511</v>
      </c>
      <c r="C105" t="s">
        <v>521</v>
      </c>
      <c r="D105" t="s">
        <v>532</v>
      </c>
      <c r="E105">
        <v>2025</v>
      </c>
      <c r="F105">
        <v>3.91</v>
      </c>
      <c r="G105">
        <v>392</v>
      </c>
      <c r="H105">
        <v>3.9</v>
      </c>
      <c r="I105">
        <v>6</v>
      </c>
    </row>
    <row r="106" spans="1:9" x14ac:dyDescent="0.25">
      <c r="A106" t="s">
        <v>113</v>
      </c>
      <c r="B106" t="s">
        <v>512</v>
      </c>
      <c r="C106" t="s">
        <v>520</v>
      </c>
      <c r="D106" t="s">
        <v>530</v>
      </c>
      <c r="E106">
        <v>2024</v>
      </c>
      <c r="F106">
        <v>3.46</v>
      </c>
      <c r="G106">
        <v>232</v>
      </c>
      <c r="H106">
        <v>3.2</v>
      </c>
      <c r="I106">
        <v>5</v>
      </c>
    </row>
    <row r="107" spans="1:9" x14ac:dyDescent="0.25">
      <c r="A107" t="s">
        <v>114</v>
      </c>
      <c r="B107" t="s">
        <v>511</v>
      </c>
      <c r="C107" t="s">
        <v>521</v>
      </c>
      <c r="D107" t="s">
        <v>524</v>
      </c>
      <c r="E107">
        <v>2025</v>
      </c>
      <c r="F107">
        <v>1.96</v>
      </c>
      <c r="G107">
        <v>211</v>
      </c>
      <c r="H107">
        <v>4.4000000000000004</v>
      </c>
      <c r="I107">
        <v>3</v>
      </c>
    </row>
    <row r="108" spans="1:9" x14ac:dyDescent="0.25">
      <c r="A108" t="s">
        <v>115</v>
      </c>
      <c r="B108" t="s">
        <v>511</v>
      </c>
      <c r="C108" t="s">
        <v>521</v>
      </c>
      <c r="D108" t="s">
        <v>529</v>
      </c>
      <c r="E108">
        <v>2025</v>
      </c>
      <c r="F108">
        <v>3.42</v>
      </c>
      <c r="G108">
        <v>520</v>
      </c>
      <c r="H108">
        <v>4</v>
      </c>
      <c r="I108">
        <v>9</v>
      </c>
    </row>
    <row r="109" spans="1:9" x14ac:dyDescent="0.25">
      <c r="A109" t="s">
        <v>116</v>
      </c>
      <c r="B109" t="s">
        <v>517</v>
      </c>
      <c r="C109" t="s">
        <v>522</v>
      </c>
      <c r="D109" t="s">
        <v>532</v>
      </c>
      <c r="E109">
        <v>2023</v>
      </c>
      <c r="F109">
        <v>8.83</v>
      </c>
      <c r="G109">
        <v>351</v>
      </c>
      <c r="H109">
        <v>3.1</v>
      </c>
      <c r="I109">
        <v>3</v>
      </c>
    </row>
    <row r="110" spans="1:9" x14ac:dyDescent="0.25">
      <c r="A110" t="s">
        <v>117</v>
      </c>
      <c r="B110" t="s">
        <v>514</v>
      </c>
      <c r="C110" t="s">
        <v>521</v>
      </c>
      <c r="D110" t="s">
        <v>523</v>
      </c>
      <c r="E110">
        <v>2025</v>
      </c>
      <c r="F110">
        <v>3.67</v>
      </c>
      <c r="G110">
        <v>290</v>
      </c>
      <c r="H110">
        <v>2.6</v>
      </c>
      <c r="I110">
        <v>1</v>
      </c>
    </row>
    <row r="111" spans="1:9" x14ac:dyDescent="0.25">
      <c r="A111" t="s">
        <v>118</v>
      </c>
      <c r="B111" t="s">
        <v>510</v>
      </c>
      <c r="C111" t="s">
        <v>520</v>
      </c>
      <c r="D111" t="s">
        <v>532</v>
      </c>
      <c r="E111">
        <v>2025</v>
      </c>
      <c r="F111">
        <v>7.61</v>
      </c>
      <c r="G111">
        <v>326</v>
      </c>
      <c r="H111">
        <v>4.7</v>
      </c>
      <c r="I111">
        <v>8</v>
      </c>
    </row>
    <row r="112" spans="1:9" x14ac:dyDescent="0.25">
      <c r="A112" t="s">
        <v>119</v>
      </c>
      <c r="B112" t="s">
        <v>509</v>
      </c>
      <c r="C112" t="s">
        <v>519</v>
      </c>
      <c r="D112" t="s">
        <v>523</v>
      </c>
      <c r="E112">
        <v>2025</v>
      </c>
      <c r="F112">
        <v>6.27</v>
      </c>
      <c r="G112">
        <v>325</v>
      </c>
      <c r="H112">
        <v>3.6</v>
      </c>
      <c r="I112">
        <v>3</v>
      </c>
    </row>
    <row r="113" spans="1:9" x14ac:dyDescent="0.25">
      <c r="A113" t="s">
        <v>120</v>
      </c>
      <c r="B113" t="s">
        <v>513</v>
      </c>
      <c r="C113" t="s">
        <v>519</v>
      </c>
      <c r="D113" t="s">
        <v>532</v>
      </c>
      <c r="E113">
        <v>2024</v>
      </c>
      <c r="F113">
        <v>4.91</v>
      </c>
      <c r="G113">
        <v>113</v>
      </c>
      <c r="H113">
        <v>3.5</v>
      </c>
      <c r="I113">
        <v>2</v>
      </c>
    </row>
    <row r="114" spans="1:9" x14ac:dyDescent="0.25">
      <c r="A114" t="s">
        <v>121</v>
      </c>
      <c r="B114" t="s">
        <v>517</v>
      </c>
      <c r="C114" t="s">
        <v>522</v>
      </c>
      <c r="D114" t="s">
        <v>523</v>
      </c>
      <c r="E114">
        <v>2023</v>
      </c>
      <c r="F114">
        <v>4.04</v>
      </c>
      <c r="G114">
        <v>488</v>
      </c>
      <c r="H114">
        <v>4.9000000000000004</v>
      </c>
      <c r="I114">
        <v>2</v>
      </c>
    </row>
    <row r="115" spans="1:9" x14ac:dyDescent="0.25">
      <c r="A115" t="s">
        <v>122</v>
      </c>
      <c r="B115" t="s">
        <v>511</v>
      </c>
      <c r="C115" t="s">
        <v>521</v>
      </c>
      <c r="D115" t="s">
        <v>524</v>
      </c>
      <c r="E115">
        <v>2025</v>
      </c>
      <c r="F115">
        <v>4.82</v>
      </c>
      <c r="G115">
        <v>460</v>
      </c>
      <c r="H115">
        <v>4</v>
      </c>
      <c r="I115">
        <v>10</v>
      </c>
    </row>
    <row r="116" spans="1:9" x14ac:dyDescent="0.25">
      <c r="A116" t="s">
        <v>123</v>
      </c>
      <c r="B116" t="s">
        <v>511</v>
      </c>
      <c r="C116" t="s">
        <v>521</v>
      </c>
      <c r="D116" t="s">
        <v>530</v>
      </c>
      <c r="E116">
        <v>2024</v>
      </c>
      <c r="F116">
        <v>3.25</v>
      </c>
      <c r="G116">
        <v>376</v>
      </c>
      <c r="H116">
        <v>3.2</v>
      </c>
      <c r="I116">
        <v>10</v>
      </c>
    </row>
    <row r="117" spans="1:9" x14ac:dyDescent="0.25">
      <c r="A117" t="s">
        <v>124</v>
      </c>
      <c r="B117" t="s">
        <v>512</v>
      </c>
      <c r="C117" t="s">
        <v>520</v>
      </c>
      <c r="D117" t="s">
        <v>532</v>
      </c>
      <c r="E117">
        <v>2025</v>
      </c>
      <c r="F117">
        <v>5.35</v>
      </c>
      <c r="G117">
        <v>312</v>
      </c>
      <c r="H117">
        <v>4.9000000000000004</v>
      </c>
      <c r="I117">
        <v>2</v>
      </c>
    </row>
    <row r="118" spans="1:9" x14ac:dyDescent="0.25">
      <c r="A118" t="s">
        <v>125</v>
      </c>
      <c r="B118" t="s">
        <v>511</v>
      </c>
      <c r="C118" t="s">
        <v>521</v>
      </c>
      <c r="D118" t="s">
        <v>529</v>
      </c>
      <c r="E118">
        <v>2024</v>
      </c>
      <c r="F118">
        <v>4.3</v>
      </c>
      <c r="G118">
        <v>230</v>
      </c>
      <c r="H118">
        <v>3.1</v>
      </c>
      <c r="I118">
        <v>9</v>
      </c>
    </row>
    <row r="119" spans="1:9" x14ac:dyDescent="0.25">
      <c r="A119" t="s">
        <v>126</v>
      </c>
      <c r="B119" t="s">
        <v>509</v>
      </c>
      <c r="C119" t="s">
        <v>519</v>
      </c>
      <c r="D119" t="s">
        <v>531</v>
      </c>
      <c r="E119">
        <v>2023</v>
      </c>
      <c r="F119">
        <v>7.27</v>
      </c>
      <c r="G119">
        <v>320</v>
      </c>
      <c r="H119">
        <v>3.2</v>
      </c>
      <c r="I119">
        <v>4</v>
      </c>
    </row>
    <row r="120" spans="1:9" x14ac:dyDescent="0.25">
      <c r="A120" t="s">
        <v>127</v>
      </c>
      <c r="B120" t="s">
        <v>514</v>
      </c>
      <c r="C120" t="s">
        <v>521</v>
      </c>
      <c r="D120" t="s">
        <v>532</v>
      </c>
      <c r="E120">
        <v>2025</v>
      </c>
      <c r="F120">
        <v>5.3</v>
      </c>
      <c r="G120">
        <v>186</v>
      </c>
      <c r="H120">
        <v>4.2</v>
      </c>
      <c r="I120">
        <v>5</v>
      </c>
    </row>
    <row r="121" spans="1:9" x14ac:dyDescent="0.25">
      <c r="A121" t="s">
        <v>128</v>
      </c>
      <c r="B121" t="s">
        <v>517</v>
      </c>
      <c r="C121" t="s">
        <v>522</v>
      </c>
      <c r="D121" t="s">
        <v>529</v>
      </c>
      <c r="E121">
        <v>2024</v>
      </c>
      <c r="F121">
        <v>3.8</v>
      </c>
      <c r="G121">
        <v>315</v>
      </c>
      <c r="H121">
        <v>4.0999999999999996</v>
      </c>
      <c r="I121">
        <v>5</v>
      </c>
    </row>
    <row r="122" spans="1:9" x14ac:dyDescent="0.25">
      <c r="A122" t="s">
        <v>129</v>
      </c>
      <c r="B122" t="s">
        <v>518</v>
      </c>
      <c r="C122" t="s">
        <v>519</v>
      </c>
      <c r="D122" t="s">
        <v>524</v>
      </c>
      <c r="E122">
        <v>2023</v>
      </c>
      <c r="F122">
        <v>5.33</v>
      </c>
      <c r="G122">
        <v>237</v>
      </c>
      <c r="H122">
        <v>4</v>
      </c>
      <c r="I122">
        <v>10</v>
      </c>
    </row>
    <row r="123" spans="1:9" x14ac:dyDescent="0.25">
      <c r="A123" t="s">
        <v>130</v>
      </c>
      <c r="B123" t="s">
        <v>514</v>
      </c>
      <c r="C123" t="s">
        <v>521</v>
      </c>
      <c r="D123" t="s">
        <v>526</v>
      </c>
      <c r="E123">
        <v>2023</v>
      </c>
      <c r="F123">
        <v>3.34</v>
      </c>
      <c r="G123">
        <v>305</v>
      </c>
      <c r="H123">
        <v>4.2</v>
      </c>
      <c r="I123">
        <v>5</v>
      </c>
    </row>
    <row r="124" spans="1:9" x14ac:dyDescent="0.25">
      <c r="A124" t="s">
        <v>131</v>
      </c>
      <c r="B124" t="s">
        <v>510</v>
      </c>
      <c r="C124" t="s">
        <v>520</v>
      </c>
      <c r="D124" t="s">
        <v>530</v>
      </c>
      <c r="E124">
        <v>2024</v>
      </c>
      <c r="F124">
        <v>4.0599999999999996</v>
      </c>
      <c r="G124">
        <v>306</v>
      </c>
      <c r="H124">
        <v>2.6</v>
      </c>
      <c r="I124">
        <v>7</v>
      </c>
    </row>
    <row r="125" spans="1:9" x14ac:dyDescent="0.25">
      <c r="A125" t="s">
        <v>132</v>
      </c>
      <c r="B125" t="s">
        <v>516</v>
      </c>
      <c r="C125" t="s">
        <v>521</v>
      </c>
      <c r="D125" t="s">
        <v>525</v>
      </c>
      <c r="E125">
        <v>2024</v>
      </c>
      <c r="F125">
        <v>1.1299999999999999</v>
      </c>
      <c r="G125">
        <v>267</v>
      </c>
      <c r="H125">
        <v>4.9000000000000004</v>
      </c>
      <c r="I125">
        <v>10</v>
      </c>
    </row>
    <row r="126" spans="1:9" x14ac:dyDescent="0.25">
      <c r="A126" t="s">
        <v>133</v>
      </c>
      <c r="B126" t="s">
        <v>517</v>
      </c>
      <c r="C126" t="s">
        <v>522</v>
      </c>
      <c r="D126" t="s">
        <v>523</v>
      </c>
      <c r="E126">
        <v>2025</v>
      </c>
      <c r="F126">
        <v>8.75</v>
      </c>
      <c r="G126">
        <v>495</v>
      </c>
      <c r="H126">
        <v>2.6</v>
      </c>
      <c r="I126">
        <v>3</v>
      </c>
    </row>
    <row r="127" spans="1:9" x14ac:dyDescent="0.25">
      <c r="A127" t="s">
        <v>134</v>
      </c>
      <c r="B127" t="s">
        <v>515</v>
      </c>
      <c r="C127" t="s">
        <v>520</v>
      </c>
      <c r="D127" t="s">
        <v>530</v>
      </c>
      <c r="E127">
        <v>2025</v>
      </c>
      <c r="F127">
        <v>4.0999999999999996</v>
      </c>
      <c r="G127">
        <v>142</v>
      </c>
      <c r="H127">
        <v>3</v>
      </c>
      <c r="I127">
        <v>10</v>
      </c>
    </row>
    <row r="128" spans="1:9" x14ac:dyDescent="0.25">
      <c r="A128" t="s">
        <v>135</v>
      </c>
      <c r="B128" t="s">
        <v>512</v>
      </c>
      <c r="C128" t="s">
        <v>520</v>
      </c>
      <c r="D128" t="s">
        <v>526</v>
      </c>
      <c r="E128">
        <v>2023</v>
      </c>
      <c r="F128">
        <v>4.29</v>
      </c>
      <c r="G128">
        <v>209</v>
      </c>
      <c r="H128">
        <v>3.3</v>
      </c>
      <c r="I128">
        <v>2</v>
      </c>
    </row>
    <row r="129" spans="1:9" x14ac:dyDescent="0.25">
      <c r="A129" t="s">
        <v>136</v>
      </c>
      <c r="B129" t="s">
        <v>518</v>
      </c>
      <c r="C129" t="s">
        <v>519</v>
      </c>
      <c r="D129" t="s">
        <v>527</v>
      </c>
      <c r="E129">
        <v>2024</v>
      </c>
      <c r="F129">
        <v>9.5500000000000007</v>
      </c>
      <c r="G129">
        <v>227</v>
      </c>
      <c r="H129">
        <v>4.2</v>
      </c>
      <c r="I129">
        <v>7</v>
      </c>
    </row>
    <row r="130" spans="1:9" x14ac:dyDescent="0.25">
      <c r="A130" t="s">
        <v>137</v>
      </c>
      <c r="B130" t="s">
        <v>510</v>
      </c>
      <c r="C130" t="s">
        <v>520</v>
      </c>
      <c r="D130" t="s">
        <v>523</v>
      </c>
      <c r="E130">
        <v>2024</v>
      </c>
      <c r="F130">
        <v>1.62</v>
      </c>
      <c r="G130">
        <v>129</v>
      </c>
      <c r="H130">
        <v>3.3</v>
      </c>
      <c r="I130">
        <v>7</v>
      </c>
    </row>
    <row r="131" spans="1:9" x14ac:dyDescent="0.25">
      <c r="A131" t="s">
        <v>138</v>
      </c>
      <c r="B131" t="s">
        <v>510</v>
      </c>
      <c r="C131" t="s">
        <v>520</v>
      </c>
      <c r="D131" t="s">
        <v>523</v>
      </c>
      <c r="E131">
        <v>2025</v>
      </c>
      <c r="F131">
        <v>7.09</v>
      </c>
      <c r="G131">
        <v>236</v>
      </c>
      <c r="H131">
        <v>3.5</v>
      </c>
      <c r="I131">
        <v>4</v>
      </c>
    </row>
    <row r="132" spans="1:9" x14ac:dyDescent="0.25">
      <c r="A132" t="s">
        <v>139</v>
      </c>
      <c r="B132" t="s">
        <v>510</v>
      </c>
      <c r="C132" t="s">
        <v>520</v>
      </c>
      <c r="D132" t="s">
        <v>527</v>
      </c>
      <c r="E132">
        <v>2025</v>
      </c>
      <c r="F132">
        <v>6.3</v>
      </c>
      <c r="G132">
        <v>320</v>
      </c>
      <c r="H132">
        <v>3.6</v>
      </c>
      <c r="I132">
        <v>1</v>
      </c>
    </row>
    <row r="133" spans="1:9" x14ac:dyDescent="0.25">
      <c r="A133" t="s">
        <v>140</v>
      </c>
      <c r="B133" t="s">
        <v>511</v>
      </c>
      <c r="C133" t="s">
        <v>521</v>
      </c>
      <c r="D133" t="s">
        <v>532</v>
      </c>
      <c r="E133">
        <v>2025</v>
      </c>
      <c r="F133">
        <v>1.66</v>
      </c>
      <c r="G133">
        <v>297</v>
      </c>
      <c r="H133">
        <v>3.6</v>
      </c>
      <c r="I133">
        <v>8</v>
      </c>
    </row>
    <row r="134" spans="1:9" x14ac:dyDescent="0.25">
      <c r="A134" t="s">
        <v>141</v>
      </c>
      <c r="B134" t="s">
        <v>509</v>
      </c>
      <c r="C134" t="s">
        <v>519</v>
      </c>
      <c r="D134" t="s">
        <v>523</v>
      </c>
      <c r="E134">
        <v>2025</v>
      </c>
      <c r="F134">
        <v>8.8699999999999992</v>
      </c>
      <c r="G134">
        <v>202</v>
      </c>
      <c r="H134">
        <v>4.3</v>
      </c>
      <c r="I134">
        <v>5</v>
      </c>
    </row>
    <row r="135" spans="1:9" x14ac:dyDescent="0.25">
      <c r="A135" t="s">
        <v>142</v>
      </c>
      <c r="B135" t="s">
        <v>510</v>
      </c>
      <c r="C135" t="s">
        <v>520</v>
      </c>
      <c r="D135" t="s">
        <v>523</v>
      </c>
      <c r="E135">
        <v>2025</v>
      </c>
      <c r="F135">
        <v>3.86</v>
      </c>
      <c r="G135">
        <v>115</v>
      </c>
      <c r="H135">
        <v>5</v>
      </c>
      <c r="I135">
        <v>2</v>
      </c>
    </row>
    <row r="136" spans="1:9" x14ac:dyDescent="0.25">
      <c r="A136" t="s">
        <v>143</v>
      </c>
      <c r="B136" t="s">
        <v>515</v>
      </c>
      <c r="C136" t="s">
        <v>520</v>
      </c>
      <c r="D136" t="s">
        <v>524</v>
      </c>
      <c r="E136">
        <v>2025</v>
      </c>
      <c r="F136">
        <v>6.83</v>
      </c>
      <c r="G136">
        <v>255</v>
      </c>
      <c r="H136">
        <v>4.8</v>
      </c>
      <c r="I136">
        <v>5</v>
      </c>
    </row>
    <row r="137" spans="1:9" x14ac:dyDescent="0.25">
      <c r="A137" t="s">
        <v>144</v>
      </c>
      <c r="B137" t="s">
        <v>510</v>
      </c>
      <c r="C137" t="s">
        <v>520</v>
      </c>
      <c r="D137" t="s">
        <v>532</v>
      </c>
      <c r="E137">
        <v>2024</v>
      </c>
      <c r="F137">
        <v>6.84</v>
      </c>
      <c r="G137">
        <v>241</v>
      </c>
      <c r="H137">
        <v>3.1</v>
      </c>
      <c r="I137">
        <v>9</v>
      </c>
    </row>
    <row r="138" spans="1:9" x14ac:dyDescent="0.25">
      <c r="A138" t="s">
        <v>145</v>
      </c>
      <c r="B138" t="s">
        <v>518</v>
      </c>
      <c r="C138" t="s">
        <v>519</v>
      </c>
      <c r="D138" t="s">
        <v>528</v>
      </c>
      <c r="E138">
        <v>2023</v>
      </c>
      <c r="F138">
        <v>11.37</v>
      </c>
      <c r="G138">
        <v>340</v>
      </c>
      <c r="H138">
        <v>4.4000000000000004</v>
      </c>
      <c r="I138">
        <v>3</v>
      </c>
    </row>
    <row r="139" spans="1:9" x14ac:dyDescent="0.25">
      <c r="A139" t="s">
        <v>146</v>
      </c>
      <c r="B139" t="s">
        <v>509</v>
      </c>
      <c r="C139" t="s">
        <v>519</v>
      </c>
      <c r="D139" t="s">
        <v>532</v>
      </c>
      <c r="E139">
        <v>2024</v>
      </c>
      <c r="F139">
        <v>6.72</v>
      </c>
      <c r="G139">
        <v>339</v>
      </c>
      <c r="H139">
        <v>3.2</v>
      </c>
      <c r="I139">
        <v>1</v>
      </c>
    </row>
    <row r="140" spans="1:9" x14ac:dyDescent="0.25">
      <c r="A140" t="s">
        <v>147</v>
      </c>
      <c r="B140" t="s">
        <v>514</v>
      </c>
      <c r="C140" t="s">
        <v>521</v>
      </c>
      <c r="D140" t="s">
        <v>532</v>
      </c>
      <c r="E140">
        <v>2025</v>
      </c>
      <c r="F140">
        <v>3.9</v>
      </c>
      <c r="G140">
        <v>487</v>
      </c>
      <c r="H140">
        <v>3.7</v>
      </c>
      <c r="I140">
        <v>3</v>
      </c>
    </row>
    <row r="141" spans="1:9" x14ac:dyDescent="0.25">
      <c r="A141" t="s">
        <v>148</v>
      </c>
      <c r="B141" t="s">
        <v>515</v>
      </c>
      <c r="C141" t="s">
        <v>520</v>
      </c>
      <c r="D141" t="s">
        <v>530</v>
      </c>
      <c r="E141">
        <v>2024</v>
      </c>
      <c r="F141">
        <v>3.42</v>
      </c>
      <c r="G141">
        <v>282</v>
      </c>
      <c r="H141">
        <v>4.4000000000000004</v>
      </c>
      <c r="I141">
        <v>7</v>
      </c>
    </row>
    <row r="142" spans="1:9" x14ac:dyDescent="0.25">
      <c r="A142" t="s">
        <v>149</v>
      </c>
      <c r="B142" t="s">
        <v>515</v>
      </c>
      <c r="C142" t="s">
        <v>520</v>
      </c>
      <c r="D142" t="s">
        <v>527</v>
      </c>
      <c r="E142">
        <v>2023</v>
      </c>
      <c r="F142">
        <v>7.87</v>
      </c>
      <c r="G142">
        <v>122</v>
      </c>
      <c r="H142">
        <v>3.9</v>
      </c>
      <c r="I142">
        <v>4</v>
      </c>
    </row>
    <row r="143" spans="1:9" x14ac:dyDescent="0.25">
      <c r="A143" t="s">
        <v>150</v>
      </c>
      <c r="B143" t="s">
        <v>512</v>
      </c>
      <c r="C143" t="s">
        <v>520</v>
      </c>
      <c r="D143" t="s">
        <v>523</v>
      </c>
      <c r="E143">
        <v>2024</v>
      </c>
      <c r="F143">
        <v>6.21</v>
      </c>
      <c r="G143">
        <v>195</v>
      </c>
      <c r="H143">
        <v>3.5</v>
      </c>
      <c r="I143">
        <v>3</v>
      </c>
    </row>
    <row r="144" spans="1:9" x14ac:dyDescent="0.25">
      <c r="A144" t="s">
        <v>151</v>
      </c>
      <c r="B144" t="s">
        <v>515</v>
      </c>
      <c r="C144" t="s">
        <v>520</v>
      </c>
      <c r="D144" t="s">
        <v>523</v>
      </c>
      <c r="E144">
        <v>2023</v>
      </c>
      <c r="F144">
        <v>4.5199999999999996</v>
      </c>
      <c r="G144">
        <v>302</v>
      </c>
      <c r="H144">
        <v>3.3</v>
      </c>
      <c r="I144">
        <v>2</v>
      </c>
    </row>
    <row r="145" spans="1:9" x14ac:dyDescent="0.25">
      <c r="A145" t="s">
        <v>152</v>
      </c>
      <c r="B145" t="s">
        <v>515</v>
      </c>
      <c r="C145" t="s">
        <v>520</v>
      </c>
      <c r="D145" t="s">
        <v>524</v>
      </c>
      <c r="E145">
        <v>2025</v>
      </c>
      <c r="F145">
        <v>7.37</v>
      </c>
      <c r="G145">
        <v>7</v>
      </c>
      <c r="H145">
        <v>4.3</v>
      </c>
      <c r="I145">
        <v>7</v>
      </c>
    </row>
    <row r="146" spans="1:9" x14ac:dyDescent="0.25">
      <c r="A146" t="s">
        <v>153</v>
      </c>
      <c r="B146" t="s">
        <v>518</v>
      </c>
      <c r="C146" t="s">
        <v>519</v>
      </c>
      <c r="D146" t="s">
        <v>524</v>
      </c>
      <c r="E146">
        <v>2024</v>
      </c>
      <c r="F146">
        <v>10.25</v>
      </c>
      <c r="G146">
        <v>215</v>
      </c>
      <c r="H146">
        <v>3.3</v>
      </c>
      <c r="I146">
        <v>7</v>
      </c>
    </row>
    <row r="147" spans="1:9" x14ac:dyDescent="0.25">
      <c r="A147" t="s">
        <v>154</v>
      </c>
      <c r="B147" t="s">
        <v>509</v>
      </c>
      <c r="C147" t="s">
        <v>519</v>
      </c>
      <c r="D147" t="s">
        <v>527</v>
      </c>
      <c r="E147">
        <v>2025</v>
      </c>
      <c r="F147">
        <v>10.87</v>
      </c>
      <c r="G147">
        <v>274</v>
      </c>
      <c r="H147">
        <v>4.9000000000000004</v>
      </c>
      <c r="I147">
        <v>8</v>
      </c>
    </row>
    <row r="148" spans="1:9" x14ac:dyDescent="0.25">
      <c r="A148" t="s">
        <v>155</v>
      </c>
      <c r="B148" t="s">
        <v>510</v>
      </c>
      <c r="C148" t="s">
        <v>520</v>
      </c>
      <c r="D148" t="s">
        <v>523</v>
      </c>
      <c r="E148">
        <v>2025</v>
      </c>
      <c r="F148">
        <v>1.48</v>
      </c>
      <c r="G148">
        <v>323</v>
      </c>
      <c r="H148">
        <v>4.2</v>
      </c>
      <c r="I148">
        <v>5</v>
      </c>
    </row>
    <row r="149" spans="1:9" x14ac:dyDescent="0.25">
      <c r="A149" t="s">
        <v>156</v>
      </c>
      <c r="B149" t="s">
        <v>511</v>
      </c>
      <c r="C149" t="s">
        <v>521</v>
      </c>
      <c r="D149" t="s">
        <v>524</v>
      </c>
      <c r="E149">
        <v>2024</v>
      </c>
      <c r="F149">
        <v>5.89</v>
      </c>
      <c r="G149">
        <v>539</v>
      </c>
      <c r="H149">
        <v>4.0999999999999996</v>
      </c>
      <c r="I149">
        <v>2</v>
      </c>
    </row>
    <row r="150" spans="1:9" x14ac:dyDescent="0.25">
      <c r="A150" t="s">
        <v>157</v>
      </c>
      <c r="B150" t="s">
        <v>515</v>
      </c>
      <c r="C150" t="s">
        <v>520</v>
      </c>
      <c r="D150" t="s">
        <v>531</v>
      </c>
      <c r="E150">
        <v>2025</v>
      </c>
      <c r="F150">
        <v>3.1</v>
      </c>
      <c r="G150">
        <v>14</v>
      </c>
      <c r="H150">
        <v>2.6</v>
      </c>
      <c r="I150">
        <v>1</v>
      </c>
    </row>
    <row r="151" spans="1:9" x14ac:dyDescent="0.25">
      <c r="A151" t="s">
        <v>158</v>
      </c>
      <c r="B151" t="s">
        <v>514</v>
      </c>
      <c r="C151" t="s">
        <v>521</v>
      </c>
      <c r="D151" t="s">
        <v>527</v>
      </c>
      <c r="E151">
        <v>2024</v>
      </c>
      <c r="F151">
        <v>3.15</v>
      </c>
      <c r="G151">
        <v>275</v>
      </c>
      <c r="H151">
        <v>3.8</v>
      </c>
      <c r="I151">
        <v>10</v>
      </c>
    </row>
    <row r="152" spans="1:9" x14ac:dyDescent="0.25">
      <c r="A152" t="s">
        <v>159</v>
      </c>
      <c r="B152" t="s">
        <v>518</v>
      </c>
      <c r="C152" t="s">
        <v>519</v>
      </c>
      <c r="D152" t="s">
        <v>531</v>
      </c>
      <c r="E152">
        <v>2023</v>
      </c>
      <c r="F152">
        <v>4.63</v>
      </c>
      <c r="G152">
        <v>275</v>
      </c>
      <c r="H152">
        <v>4</v>
      </c>
      <c r="I152">
        <v>4</v>
      </c>
    </row>
    <row r="153" spans="1:9" x14ac:dyDescent="0.25">
      <c r="A153" t="s">
        <v>160</v>
      </c>
      <c r="B153" t="s">
        <v>515</v>
      </c>
      <c r="C153" t="s">
        <v>520</v>
      </c>
      <c r="D153" t="s">
        <v>525</v>
      </c>
      <c r="E153">
        <v>2023</v>
      </c>
      <c r="F153">
        <v>2.63</v>
      </c>
      <c r="G153">
        <v>326</v>
      </c>
      <c r="H153">
        <v>3.1</v>
      </c>
      <c r="I153">
        <v>5</v>
      </c>
    </row>
    <row r="154" spans="1:9" x14ac:dyDescent="0.25">
      <c r="A154" t="s">
        <v>161</v>
      </c>
      <c r="B154" t="s">
        <v>513</v>
      </c>
      <c r="C154" t="s">
        <v>519</v>
      </c>
      <c r="D154" t="s">
        <v>526</v>
      </c>
      <c r="E154">
        <v>2024</v>
      </c>
      <c r="F154">
        <v>9.42</v>
      </c>
      <c r="G154">
        <v>160</v>
      </c>
      <c r="H154">
        <v>2.7</v>
      </c>
      <c r="I154">
        <v>6</v>
      </c>
    </row>
    <row r="155" spans="1:9" x14ac:dyDescent="0.25">
      <c r="A155" t="s">
        <v>162</v>
      </c>
      <c r="B155" t="s">
        <v>517</v>
      </c>
      <c r="C155" t="s">
        <v>522</v>
      </c>
      <c r="D155" t="s">
        <v>532</v>
      </c>
      <c r="E155">
        <v>2025</v>
      </c>
      <c r="F155">
        <v>9.73</v>
      </c>
      <c r="G155">
        <v>328</v>
      </c>
      <c r="H155">
        <v>3.6</v>
      </c>
      <c r="I155">
        <v>5</v>
      </c>
    </row>
    <row r="156" spans="1:9" x14ac:dyDescent="0.25">
      <c r="A156" t="s">
        <v>163</v>
      </c>
      <c r="B156" t="s">
        <v>511</v>
      </c>
      <c r="C156" t="s">
        <v>521</v>
      </c>
      <c r="D156" t="s">
        <v>528</v>
      </c>
      <c r="E156">
        <v>2024</v>
      </c>
      <c r="F156">
        <v>1.53</v>
      </c>
      <c r="G156">
        <v>345</v>
      </c>
      <c r="H156">
        <v>3.9</v>
      </c>
      <c r="I156">
        <v>10</v>
      </c>
    </row>
    <row r="157" spans="1:9" x14ac:dyDescent="0.25">
      <c r="A157" t="s">
        <v>164</v>
      </c>
      <c r="B157" t="s">
        <v>514</v>
      </c>
      <c r="C157" t="s">
        <v>521</v>
      </c>
      <c r="D157" t="s">
        <v>532</v>
      </c>
      <c r="E157">
        <v>2023</v>
      </c>
      <c r="F157">
        <v>5.89</v>
      </c>
      <c r="G157">
        <v>487</v>
      </c>
      <c r="H157">
        <v>3.5</v>
      </c>
      <c r="I157">
        <v>1</v>
      </c>
    </row>
    <row r="158" spans="1:9" x14ac:dyDescent="0.25">
      <c r="A158" t="s">
        <v>165</v>
      </c>
      <c r="B158" t="s">
        <v>517</v>
      </c>
      <c r="C158" t="s">
        <v>522</v>
      </c>
      <c r="D158" t="s">
        <v>523</v>
      </c>
      <c r="E158">
        <v>2025</v>
      </c>
      <c r="F158">
        <v>8.2200000000000006</v>
      </c>
      <c r="G158">
        <v>346</v>
      </c>
      <c r="H158">
        <v>4.4000000000000004</v>
      </c>
      <c r="I158">
        <v>4</v>
      </c>
    </row>
    <row r="159" spans="1:9" x14ac:dyDescent="0.25">
      <c r="A159" t="s">
        <v>166</v>
      </c>
      <c r="B159" t="s">
        <v>517</v>
      </c>
      <c r="C159" t="s">
        <v>522</v>
      </c>
      <c r="D159" t="s">
        <v>527</v>
      </c>
      <c r="E159">
        <v>2023</v>
      </c>
      <c r="F159">
        <v>7.46</v>
      </c>
      <c r="G159">
        <v>328</v>
      </c>
      <c r="H159">
        <v>4.2</v>
      </c>
      <c r="I159">
        <v>3</v>
      </c>
    </row>
    <row r="160" spans="1:9" x14ac:dyDescent="0.25">
      <c r="A160" t="s">
        <v>167</v>
      </c>
      <c r="B160" t="s">
        <v>509</v>
      </c>
      <c r="C160" t="s">
        <v>519</v>
      </c>
      <c r="D160" t="s">
        <v>523</v>
      </c>
      <c r="E160">
        <v>2024</v>
      </c>
      <c r="F160">
        <v>10.31</v>
      </c>
      <c r="G160">
        <v>97</v>
      </c>
      <c r="H160">
        <v>3.9</v>
      </c>
      <c r="I160">
        <v>3</v>
      </c>
    </row>
    <row r="161" spans="1:9" x14ac:dyDescent="0.25">
      <c r="A161" t="s">
        <v>168</v>
      </c>
      <c r="B161" t="s">
        <v>509</v>
      </c>
      <c r="C161" t="s">
        <v>519</v>
      </c>
      <c r="D161" t="s">
        <v>532</v>
      </c>
      <c r="E161">
        <v>2024</v>
      </c>
      <c r="F161">
        <v>9.98</v>
      </c>
      <c r="G161">
        <v>169</v>
      </c>
      <c r="H161">
        <v>3</v>
      </c>
      <c r="I161">
        <v>9</v>
      </c>
    </row>
    <row r="162" spans="1:9" x14ac:dyDescent="0.25">
      <c r="A162" t="s">
        <v>169</v>
      </c>
      <c r="B162" t="s">
        <v>516</v>
      </c>
      <c r="C162" t="s">
        <v>521</v>
      </c>
      <c r="D162" t="s">
        <v>530</v>
      </c>
      <c r="E162">
        <v>2025</v>
      </c>
      <c r="F162">
        <v>5.57</v>
      </c>
      <c r="G162">
        <v>575</v>
      </c>
      <c r="H162">
        <v>2.9</v>
      </c>
      <c r="I162">
        <v>8</v>
      </c>
    </row>
    <row r="163" spans="1:9" x14ac:dyDescent="0.25">
      <c r="A163" t="s">
        <v>170</v>
      </c>
      <c r="B163" t="s">
        <v>514</v>
      </c>
      <c r="C163" t="s">
        <v>521</v>
      </c>
      <c r="D163" t="s">
        <v>527</v>
      </c>
      <c r="E163">
        <v>2023</v>
      </c>
      <c r="F163">
        <v>3.34</v>
      </c>
      <c r="G163">
        <v>188</v>
      </c>
      <c r="H163">
        <v>2.9</v>
      </c>
      <c r="I163">
        <v>4</v>
      </c>
    </row>
    <row r="164" spans="1:9" x14ac:dyDescent="0.25">
      <c r="A164" t="s">
        <v>171</v>
      </c>
      <c r="B164" t="s">
        <v>512</v>
      </c>
      <c r="C164" t="s">
        <v>520</v>
      </c>
      <c r="D164" t="s">
        <v>530</v>
      </c>
      <c r="E164">
        <v>2024</v>
      </c>
      <c r="F164">
        <v>1.63</v>
      </c>
      <c r="G164">
        <v>202</v>
      </c>
      <c r="H164">
        <v>2.5</v>
      </c>
      <c r="I164">
        <v>9</v>
      </c>
    </row>
    <row r="165" spans="1:9" x14ac:dyDescent="0.25">
      <c r="A165" t="s">
        <v>172</v>
      </c>
      <c r="B165" t="s">
        <v>509</v>
      </c>
      <c r="C165" t="s">
        <v>519</v>
      </c>
      <c r="D165" t="s">
        <v>526</v>
      </c>
      <c r="E165">
        <v>2024</v>
      </c>
      <c r="F165">
        <v>9.3800000000000008</v>
      </c>
      <c r="G165">
        <v>214</v>
      </c>
      <c r="H165">
        <v>4</v>
      </c>
      <c r="I165">
        <v>6</v>
      </c>
    </row>
    <row r="166" spans="1:9" x14ac:dyDescent="0.25">
      <c r="A166" t="s">
        <v>173</v>
      </c>
      <c r="B166" t="s">
        <v>509</v>
      </c>
      <c r="C166" t="s">
        <v>519</v>
      </c>
      <c r="D166" t="s">
        <v>529</v>
      </c>
      <c r="E166">
        <v>2024</v>
      </c>
      <c r="F166">
        <v>4.2</v>
      </c>
      <c r="G166">
        <v>247</v>
      </c>
      <c r="H166">
        <v>4.8</v>
      </c>
      <c r="I166">
        <v>4</v>
      </c>
    </row>
    <row r="167" spans="1:9" x14ac:dyDescent="0.25">
      <c r="A167" t="s">
        <v>174</v>
      </c>
      <c r="B167" t="s">
        <v>509</v>
      </c>
      <c r="C167" t="s">
        <v>519</v>
      </c>
      <c r="D167" t="s">
        <v>526</v>
      </c>
      <c r="E167">
        <v>2025</v>
      </c>
      <c r="F167">
        <v>6.42</v>
      </c>
      <c r="G167">
        <v>289</v>
      </c>
      <c r="H167">
        <v>2.8</v>
      </c>
      <c r="I167">
        <v>1</v>
      </c>
    </row>
    <row r="168" spans="1:9" x14ac:dyDescent="0.25">
      <c r="A168" t="s">
        <v>175</v>
      </c>
      <c r="B168" t="s">
        <v>513</v>
      </c>
      <c r="C168" t="s">
        <v>519</v>
      </c>
      <c r="D168" t="s">
        <v>532</v>
      </c>
      <c r="E168">
        <v>2024</v>
      </c>
      <c r="F168">
        <v>4.93</v>
      </c>
      <c r="G168">
        <v>200</v>
      </c>
      <c r="H168">
        <v>4.7</v>
      </c>
      <c r="I168">
        <v>3</v>
      </c>
    </row>
    <row r="169" spans="1:9" x14ac:dyDescent="0.25">
      <c r="A169" t="s">
        <v>176</v>
      </c>
      <c r="B169" t="s">
        <v>512</v>
      </c>
      <c r="C169" t="s">
        <v>520</v>
      </c>
      <c r="D169" t="s">
        <v>526</v>
      </c>
      <c r="E169">
        <v>2024</v>
      </c>
      <c r="F169">
        <v>5.69</v>
      </c>
      <c r="G169">
        <v>276</v>
      </c>
      <c r="H169">
        <v>3.5</v>
      </c>
      <c r="I169">
        <v>3</v>
      </c>
    </row>
    <row r="170" spans="1:9" x14ac:dyDescent="0.25">
      <c r="A170" t="s">
        <v>177</v>
      </c>
      <c r="B170" t="s">
        <v>512</v>
      </c>
      <c r="C170" t="s">
        <v>520</v>
      </c>
      <c r="D170" t="s">
        <v>524</v>
      </c>
      <c r="E170">
        <v>2024</v>
      </c>
      <c r="F170">
        <v>5.31</v>
      </c>
      <c r="G170">
        <v>143</v>
      </c>
      <c r="H170">
        <v>2.6</v>
      </c>
      <c r="I170">
        <v>6</v>
      </c>
    </row>
    <row r="171" spans="1:9" x14ac:dyDescent="0.25">
      <c r="A171" t="s">
        <v>178</v>
      </c>
      <c r="B171" t="s">
        <v>511</v>
      </c>
      <c r="C171" t="s">
        <v>521</v>
      </c>
      <c r="D171" t="s">
        <v>526</v>
      </c>
      <c r="E171">
        <v>2024</v>
      </c>
      <c r="F171">
        <v>5.75</v>
      </c>
      <c r="G171">
        <v>587</v>
      </c>
      <c r="H171">
        <v>3.4</v>
      </c>
      <c r="I171">
        <v>6</v>
      </c>
    </row>
    <row r="172" spans="1:9" x14ac:dyDescent="0.25">
      <c r="A172" t="s">
        <v>179</v>
      </c>
      <c r="B172" t="s">
        <v>510</v>
      </c>
      <c r="C172" t="s">
        <v>520</v>
      </c>
      <c r="D172" t="s">
        <v>527</v>
      </c>
      <c r="E172">
        <v>2023</v>
      </c>
      <c r="F172">
        <v>3.79</v>
      </c>
      <c r="G172">
        <v>97</v>
      </c>
      <c r="H172">
        <v>4.9000000000000004</v>
      </c>
      <c r="I172">
        <v>8</v>
      </c>
    </row>
    <row r="173" spans="1:9" x14ac:dyDescent="0.25">
      <c r="A173" t="s">
        <v>180</v>
      </c>
      <c r="B173" t="s">
        <v>509</v>
      </c>
      <c r="C173" t="s">
        <v>519</v>
      </c>
      <c r="D173" t="s">
        <v>529</v>
      </c>
      <c r="E173">
        <v>2025</v>
      </c>
      <c r="F173">
        <v>9.1199999999999992</v>
      </c>
      <c r="G173">
        <v>90</v>
      </c>
      <c r="H173">
        <v>2.6</v>
      </c>
      <c r="I173">
        <v>6</v>
      </c>
    </row>
    <row r="174" spans="1:9" x14ac:dyDescent="0.25">
      <c r="A174" t="s">
        <v>181</v>
      </c>
      <c r="B174" t="s">
        <v>511</v>
      </c>
      <c r="C174" t="s">
        <v>521</v>
      </c>
      <c r="D174" t="s">
        <v>531</v>
      </c>
      <c r="E174">
        <v>2025</v>
      </c>
      <c r="F174">
        <v>2.0299999999999998</v>
      </c>
      <c r="G174">
        <v>574</v>
      </c>
      <c r="H174">
        <v>4.4000000000000004</v>
      </c>
      <c r="I174">
        <v>4</v>
      </c>
    </row>
    <row r="175" spans="1:9" x14ac:dyDescent="0.25">
      <c r="A175" t="s">
        <v>182</v>
      </c>
      <c r="B175" t="s">
        <v>517</v>
      </c>
      <c r="C175" t="s">
        <v>522</v>
      </c>
      <c r="D175" t="s">
        <v>529</v>
      </c>
      <c r="E175">
        <v>2023</v>
      </c>
      <c r="F175">
        <v>5.3</v>
      </c>
      <c r="G175">
        <v>275</v>
      </c>
      <c r="H175">
        <v>4.5</v>
      </c>
      <c r="I175">
        <v>10</v>
      </c>
    </row>
    <row r="176" spans="1:9" x14ac:dyDescent="0.25">
      <c r="A176" t="s">
        <v>183</v>
      </c>
      <c r="B176" t="s">
        <v>513</v>
      </c>
      <c r="C176" t="s">
        <v>519</v>
      </c>
      <c r="D176" t="s">
        <v>532</v>
      </c>
      <c r="E176">
        <v>2023</v>
      </c>
      <c r="F176">
        <v>11.9</v>
      </c>
      <c r="G176">
        <v>208</v>
      </c>
      <c r="H176">
        <v>4.5</v>
      </c>
      <c r="I176">
        <v>2</v>
      </c>
    </row>
    <row r="177" spans="1:9" x14ac:dyDescent="0.25">
      <c r="A177" t="s">
        <v>184</v>
      </c>
      <c r="B177" t="s">
        <v>513</v>
      </c>
      <c r="C177" t="s">
        <v>519</v>
      </c>
      <c r="D177" t="s">
        <v>531</v>
      </c>
      <c r="E177">
        <v>2023</v>
      </c>
      <c r="F177">
        <v>6.87</v>
      </c>
      <c r="G177">
        <v>201</v>
      </c>
      <c r="H177">
        <v>4</v>
      </c>
      <c r="I177">
        <v>1</v>
      </c>
    </row>
    <row r="178" spans="1:9" x14ac:dyDescent="0.25">
      <c r="A178" t="s">
        <v>185</v>
      </c>
      <c r="B178" t="s">
        <v>518</v>
      </c>
      <c r="C178" t="s">
        <v>519</v>
      </c>
      <c r="D178" t="s">
        <v>532</v>
      </c>
      <c r="E178">
        <v>2023</v>
      </c>
      <c r="F178">
        <v>5.01</v>
      </c>
      <c r="G178">
        <v>295</v>
      </c>
      <c r="H178">
        <v>3.8</v>
      </c>
      <c r="I178">
        <v>2</v>
      </c>
    </row>
    <row r="179" spans="1:9" x14ac:dyDescent="0.25">
      <c r="A179" t="s">
        <v>186</v>
      </c>
      <c r="B179" t="s">
        <v>515</v>
      </c>
      <c r="C179" t="s">
        <v>520</v>
      </c>
      <c r="D179" t="s">
        <v>526</v>
      </c>
      <c r="E179">
        <v>2024</v>
      </c>
      <c r="F179">
        <v>4.59</v>
      </c>
      <c r="G179">
        <v>55</v>
      </c>
      <c r="H179">
        <v>3.6</v>
      </c>
      <c r="I179">
        <v>4</v>
      </c>
    </row>
    <row r="180" spans="1:9" x14ac:dyDescent="0.25">
      <c r="A180" t="s">
        <v>187</v>
      </c>
      <c r="B180" t="s">
        <v>517</v>
      </c>
      <c r="C180" t="s">
        <v>522</v>
      </c>
      <c r="D180" t="s">
        <v>523</v>
      </c>
      <c r="E180">
        <v>2025</v>
      </c>
      <c r="F180">
        <v>8.48</v>
      </c>
      <c r="G180">
        <v>466</v>
      </c>
      <c r="H180">
        <v>3.3</v>
      </c>
      <c r="I180">
        <v>1</v>
      </c>
    </row>
    <row r="181" spans="1:9" x14ac:dyDescent="0.25">
      <c r="A181" t="s">
        <v>188</v>
      </c>
      <c r="B181" t="s">
        <v>513</v>
      </c>
      <c r="C181" t="s">
        <v>519</v>
      </c>
      <c r="D181" t="s">
        <v>526</v>
      </c>
      <c r="E181">
        <v>2024</v>
      </c>
      <c r="F181">
        <v>7.41</v>
      </c>
      <c r="G181">
        <v>135</v>
      </c>
      <c r="H181">
        <v>3.7</v>
      </c>
      <c r="I181">
        <v>8</v>
      </c>
    </row>
    <row r="182" spans="1:9" x14ac:dyDescent="0.25">
      <c r="A182" t="s">
        <v>189</v>
      </c>
      <c r="B182" t="s">
        <v>509</v>
      </c>
      <c r="C182" t="s">
        <v>519</v>
      </c>
      <c r="D182" t="s">
        <v>524</v>
      </c>
      <c r="E182">
        <v>2024</v>
      </c>
      <c r="F182">
        <v>8.8699999999999992</v>
      </c>
      <c r="G182">
        <v>113</v>
      </c>
      <c r="H182">
        <v>2.8</v>
      </c>
      <c r="I182">
        <v>10</v>
      </c>
    </row>
    <row r="183" spans="1:9" x14ac:dyDescent="0.25">
      <c r="A183" t="s">
        <v>190</v>
      </c>
      <c r="B183" t="s">
        <v>517</v>
      </c>
      <c r="C183" t="s">
        <v>522</v>
      </c>
      <c r="D183" t="s">
        <v>530</v>
      </c>
      <c r="E183">
        <v>2025</v>
      </c>
      <c r="F183">
        <v>5.28</v>
      </c>
      <c r="G183">
        <v>471</v>
      </c>
      <c r="H183">
        <v>3.2</v>
      </c>
      <c r="I183">
        <v>9</v>
      </c>
    </row>
    <row r="184" spans="1:9" x14ac:dyDescent="0.25">
      <c r="A184" t="s">
        <v>191</v>
      </c>
      <c r="B184" t="s">
        <v>517</v>
      </c>
      <c r="C184" t="s">
        <v>522</v>
      </c>
      <c r="D184" t="s">
        <v>528</v>
      </c>
      <c r="E184">
        <v>2023</v>
      </c>
      <c r="F184">
        <v>8.5500000000000007</v>
      </c>
      <c r="G184">
        <v>258</v>
      </c>
      <c r="H184">
        <v>4.5999999999999996</v>
      </c>
      <c r="I184">
        <v>9</v>
      </c>
    </row>
    <row r="185" spans="1:9" x14ac:dyDescent="0.25">
      <c r="A185" t="s">
        <v>192</v>
      </c>
      <c r="B185" t="s">
        <v>511</v>
      </c>
      <c r="C185" t="s">
        <v>521</v>
      </c>
      <c r="D185" t="s">
        <v>528</v>
      </c>
      <c r="E185">
        <v>2024</v>
      </c>
      <c r="F185">
        <v>5.44</v>
      </c>
      <c r="G185">
        <v>361</v>
      </c>
      <c r="H185">
        <v>3.3</v>
      </c>
      <c r="I185">
        <v>8</v>
      </c>
    </row>
    <row r="186" spans="1:9" x14ac:dyDescent="0.25">
      <c r="A186" t="s">
        <v>193</v>
      </c>
      <c r="B186" t="s">
        <v>512</v>
      </c>
      <c r="C186" t="s">
        <v>520</v>
      </c>
      <c r="D186" t="s">
        <v>528</v>
      </c>
      <c r="E186">
        <v>2025</v>
      </c>
      <c r="F186">
        <v>1.67</v>
      </c>
      <c r="G186">
        <v>218</v>
      </c>
      <c r="H186">
        <v>3.3</v>
      </c>
      <c r="I186">
        <v>5</v>
      </c>
    </row>
    <row r="187" spans="1:9" x14ac:dyDescent="0.25">
      <c r="A187" t="s">
        <v>194</v>
      </c>
      <c r="B187" t="s">
        <v>516</v>
      </c>
      <c r="C187" t="s">
        <v>521</v>
      </c>
      <c r="D187" t="s">
        <v>531</v>
      </c>
      <c r="E187">
        <v>2025</v>
      </c>
      <c r="F187">
        <v>5.61</v>
      </c>
      <c r="G187">
        <v>184</v>
      </c>
      <c r="H187">
        <v>2.7</v>
      </c>
      <c r="I187">
        <v>2</v>
      </c>
    </row>
    <row r="188" spans="1:9" x14ac:dyDescent="0.25">
      <c r="A188" t="s">
        <v>195</v>
      </c>
      <c r="B188" t="s">
        <v>509</v>
      </c>
      <c r="C188" t="s">
        <v>519</v>
      </c>
      <c r="D188" t="s">
        <v>528</v>
      </c>
      <c r="E188">
        <v>2023</v>
      </c>
      <c r="F188">
        <v>9.9600000000000009</v>
      </c>
      <c r="G188">
        <v>270</v>
      </c>
      <c r="H188">
        <v>4.5</v>
      </c>
      <c r="I188">
        <v>9</v>
      </c>
    </row>
    <row r="189" spans="1:9" x14ac:dyDescent="0.25">
      <c r="A189" t="s">
        <v>196</v>
      </c>
      <c r="B189" t="s">
        <v>513</v>
      </c>
      <c r="C189" t="s">
        <v>519</v>
      </c>
      <c r="D189" t="s">
        <v>525</v>
      </c>
      <c r="E189">
        <v>2025</v>
      </c>
      <c r="F189">
        <v>8.49</v>
      </c>
      <c r="G189">
        <v>142</v>
      </c>
      <c r="H189">
        <v>3.5</v>
      </c>
      <c r="I189">
        <v>7</v>
      </c>
    </row>
    <row r="190" spans="1:9" x14ac:dyDescent="0.25">
      <c r="A190" t="s">
        <v>197</v>
      </c>
      <c r="B190" t="s">
        <v>513</v>
      </c>
      <c r="C190" t="s">
        <v>519</v>
      </c>
      <c r="D190" t="s">
        <v>532</v>
      </c>
      <c r="E190">
        <v>2025</v>
      </c>
      <c r="F190">
        <v>6.5</v>
      </c>
      <c r="G190">
        <v>133</v>
      </c>
      <c r="H190">
        <v>3.9</v>
      </c>
      <c r="I190">
        <v>4</v>
      </c>
    </row>
    <row r="191" spans="1:9" x14ac:dyDescent="0.25">
      <c r="A191" t="s">
        <v>198</v>
      </c>
      <c r="B191" t="s">
        <v>518</v>
      </c>
      <c r="C191" t="s">
        <v>519</v>
      </c>
      <c r="D191" t="s">
        <v>526</v>
      </c>
      <c r="E191">
        <v>2023</v>
      </c>
      <c r="F191">
        <v>10.78</v>
      </c>
      <c r="G191">
        <v>259</v>
      </c>
      <c r="H191">
        <v>4.5999999999999996</v>
      </c>
      <c r="I191">
        <v>6</v>
      </c>
    </row>
    <row r="192" spans="1:9" x14ac:dyDescent="0.25">
      <c r="A192" t="s">
        <v>199</v>
      </c>
      <c r="B192" t="s">
        <v>509</v>
      </c>
      <c r="C192" t="s">
        <v>519</v>
      </c>
      <c r="D192" t="s">
        <v>532</v>
      </c>
      <c r="E192">
        <v>2025</v>
      </c>
      <c r="F192">
        <v>5.81</v>
      </c>
      <c r="G192">
        <v>299</v>
      </c>
      <c r="H192">
        <v>4.5999999999999996</v>
      </c>
      <c r="I192">
        <v>10</v>
      </c>
    </row>
    <row r="193" spans="1:9" x14ac:dyDescent="0.25">
      <c r="A193" t="s">
        <v>200</v>
      </c>
      <c r="B193" t="s">
        <v>517</v>
      </c>
      <c r="C193" t="s">
        <v>522</v>
      </c>
      <c r="D193" t="s">
        <v>530</v>
      </c>
      <c r="E193">
        <v>2023</v>
      </c>
      <c r="F193">
        <v>7.26</v>
      </c>
      <c r="G193">
        <v>336</v>
      </c>
      <c r="H193">
        <v>2.6</v>
      </c>
      <c r="I193">
        <v>5</v>
      </c>
    </row>
    <row r="194" spans="1:9" x14ac:dyDescent="0.25">
      <c r="A194" t="s">
        <v>201</v>
      </c>
      <c r="B194" t="s">
        <v>514</v>
      </c>
      <c r="C194" t="s">
        <v>521</v>
      </c>
      <c r="D194" t="s">
        <v>527</v>
      </c>
      <c r="E194">
        <v>2024</v>
      </c>
      <c r="F194">
        <v>1.03</v>
      </c>
      <c r="G194">
        <v>595</v>
      </c>
      <c r="H194">
        <v>2.9</v>
      </c>
      <c r="I194">
        <v>7</v>
      </c>
    </row>
    <row r="195" spans="1:9" x14ac:dyDescent="0.25">
      <c r="A195" t="s">
        <v>202</v>
      </c>
      <c r="B195" t="s">
        <v>509</v>
      </c>
      <c r="C195" t="s">
        <v>519</v>
      </c>
      <c r="D195" t="s">
        <v>531</v>
      </c>
      <c r="E195">
        <v>2025</v>
      </c>
      <c r="F195">
        <v>9.07</v>
      </c>
      <c r="G195">
        <v>95</v>
      </c>
      <c r="H195">
        <v>2.7</v>
      </c>
      <c r="I195">
        <v>9</v>
      </c>
    </row>
    <row r="196" spans="1:9" x14ac:dyDescent="0.25">
      <c r="A196" t="s">
        <v>203</v>
      </c>
      <c r="B196" t="s">
        <v>511</v>
      </c>
      <c r="C196" t="s">
        <v>521</v>
      </c>
      <c r="D196" t="s">
        <v>528</v>
      </c>
      <c r="E196">
        <v>2024</v>
      </c>
      <c r="F196">
        <v>3.27</v>
      </c>
      <c r="G196">
        <v>230</v>
      </c>
      <c r="H196">
        <v>3.4</v>
      </c>
      <c r="I196">
        <v>6</v>
      </c>
    </row>
    <row r="197" spans="1:9" x14ac:dyDescent="0.25">
      <c r="A197" t="s">
        <v>204</v>
      </c>
      <c r="B197" t="s">
        <v>517</v>
      </c>
      <c r="C197" t="s">
        <v>522</v>
      </c>
      <c r="D197" t="s">
        <v>525</v>
      </c>
      <c r="E197">
        <v>2023</v>
      </c>
      <c r="F197">
        <v>9.18</v>
      </c>
      <c r="G197">
        <v>279</v>
      </c>
      <c r="H197">
        <v>2.9</v>
      </c>
      <c r="I197">
        <v>10</v>
      </c>
    </row>
    <row r="198" spans="1:9" x14ac:dyDescent="0.25">
      <c r="A198" t="s">
        <v>205</v>
      </c>
      <c r="B198" t="s">
        <v>513</v>
      </c>
      <c r="C198" t="s">
        <v>519</v>
      </c>
      <c r="D198" t="s">
        <v>524</v>
      </c>
      <c r="E198">
        <v>2024</v>
      </c>
      <c r="F198">
        <v>7.54</v>
      </c>
      <c r="G198">
        <v>297</v>
      </c>
      <c r="H198">
        <v>3.7</v>
      </c>
      <c r="I198">
        <v>8</v>
      </c>
    </row>
    <row r="199" spans="1:9" x14ac:dyDescent="0.25">
      <c r="A199" t="s">
        <v>206</v>
      </c>
      <c r="B199" t="s">
        <v>512</v>
      </c>
      <c r="C199" t="s">
        <v>520</v>
      </c>
      <c r="D199" t="s">
        <v>532</v>
      </c>
      <c r="E199">
        <v>2023</v>
      </c>
      <c r="F199">
        <v>6.28</v>
      </c>
      <c r="G199">
        <v>58</v>
      </c>
      <c r="H199">
        <v>3.4</v>
      </c>
      <c r="I199">
        <v>2</v>
      </c>
    </row>
    <row r="200" spans="1:9" x14ac:dyDescent="0.25">
      <c r="A200" t="s">
        <v>207</v>
      </c>
      <c r="B200" t="s">
        <v>514</v>
      </c>
      <c r="C200" t="s">
        <v>521</v>
      </c>
      <c r="D200" t="s">
        <v>525</v>
      </c>
      <c r="E200">
        <v>2024</v>
      </c>
      <c r="F200">
        <v>3.63</v>
      </c>
      <c r="G200">
        <v>307</v>
      </c>
      <c r="H200">
        <v>2.6</v>
      </c>
      <c r="I200">
        <v>7</v>
      </c>
    </row>
    <row r="201" spans="1:9" x14ac:dyDescent="0.25">
      <c r="A201" t="s">
        <v>208</v>
      </c>
      <c r="B201" t="s">
        <v>517</v>
      </c>
      <c r="C201" t="s">
        <v>522</v>
      </c>
      <c r="D201" t="s">
        <v>523</v>
      </c>
      <c r="E201">
        <v>2023</v>
      </c>
      <c r="F201">
        <v>4.43</v>
      </c>
      <c r="G201">
        <v>308</v>
      </c>
      <c r="H201">
        <v>4.4000000000000004</v>
      </c>
      <c r="I201">
        <v>5</v>
      </c>
    </row>
    <row r="202" spans="1:9" x14ac:dyDescent="0.25">
      <c r="A202" t="s">
        <v>209</v>
      </c>
      <c r="B202" t="s">
        <v>514</v>
      </c>
      <c r="C202" t="s">
        <v>521</v>
      </c>
      <c r="D202" t="s">
        <v>527</v>
      </c>
      <c r="E202">
        <v>2023</v>
      </c>
      <c r="F202">
        <v>1.04</v>
      </c>
      <c r="G202">
        <v>532</v>
      </c>
      <c r="H202">
        <v>3.6</v>
      </c>
      <c r="I202">
        <v>3</v>
      </c>
    </row>
    <row r="203" spans="1:9" x14ac:dyDescent="0.25">
      <c r="A203" t="s">
        <v>210</v>
      </c>
      <c r="B203" t="s">
        <v>512</v>
      </c>
      <c r="C203" t="s">
        <v>520</v>
      </c>
      <c r="D203" t="s">
        <v>530</v>
      </c>
      <c r="E203">
        <v>2025</v>
      </c>
      <c r="F203">
        <v>2.61</v>
      </c>
      <c r="G203">
        <v>286</v>
      </c>
      <c r="H203">
        <v>4.5999999999999996</v>
      </c>
      <c r="I203">
        <v>6</v>
      </c>
    </row>
    <row r="204" spans="1:9" x14ac:dyDescent="0.25">
      <c r="A204" t="s">
        <v>211</v>
      </c>
      <c r="B204" t="s">
        <v>509</v>
      </c>
      <c r="C204" t="s">
        <v>519</v>
      </c>
      <c r="D204" t="s">
        <v>528</v>
      </c>
      <c r="E204">
        <v>2025</v>
      </c>
      <c r="F204">
        <v>4.34</v>
      </c>
      <c r="G204">
        <v>89</v>
      </c>
      <c r="H204">
        <v>3.6</v>
      </c>
      <c r="I204">
        <v>2</v>
      </c>
    </row>
    <row r="205" spans="1:9" x14ac:dyDescent="0.25">
      <c r="A205" t="s">
        <v>212</v>
      </c>
      <c r="B205" t="s">
        <v>516</v>
      </c>
      <c r="C205" t="s">
        <v>521</v>
      </c>
      <c r="D205" t="s">
        <v>525</v>
      </c>
      <c r="E205">
        <v>2024</v>
      </c>
      <c r="F205">
        <v>3.87</v>
      </c>
      <c r="G205">
        <v>513</v>
      </c>
      <c r="H205">
        <v>4.0999999999999996</v>
      </c>
      <c r="I205">
        <v>5</v>
      </c>
    </row>
    <row r="206" spans="1:9" x14ac:dyDescent="0.25">
      <c r="A206" t="s">
        <v>213</v>
      </c>
      <c r="B206" t="s">
        <v>509</v>
      </c>
      <c r="C206" t="s">
        <v>519</v>
      </c>
      <c r="D206" t="s">
        <v>528</v>
      </c>
      <c r="E206">
        <v>2023</v>
      </c>
      <c r="F206">
        <v>11.73</v>
      </c>
      <c r="G206">
        <v>167</v>
      </c>
      <c r="H206">
        <v>4.5</v>
      </c>
      <c r="I206">
        <v>10</v>
      </c>
    </row>
    <row r="207" spans="1:9" x14ac:dyDescent="0.25">
      <c r="A207" t="s">
        <v>214</v>
      </c>
      <c r="B207" t="s">
        <v>515</v>
      </c>
      <c r="C207" t="s">
        <v>520</v>
      </c>
      <c r="D207" t="s">
        <v>527</v>
      </c>
      <c r="E207">
        <v>2023</v>
      </c>
      <c r="F207">
        <v>4.0599999999999996</v>
      </c>
      <c r="G207">
        <v>54</v>
      </c>
      <c r="H207">
        <v>3.1</v>
      </c>
      <c r="I207">
        <v>10</v>
      </c>
    </row>
    <row r="208" spans="1:9" x14ac:dyDescent="0.25">
      <c r="A208" t="s">
        <v>215</v>
      </c>
      <c r="B208" t="s">
        <v>512</v>
      </c>
      <c r="C208" t="s">
        <v>520</v>
      </c>
      <c r="D208" t="s">
        <v>530</v>
      </c>
      <c r="E208">
        <v>2023</v>
      </c>
      <c r="F208">
        <v>3.77</v>
      </c>
      <c r="G208">
        <v>158</v>
      </c>
      <c r="H208">
        <v>4.4000000000000004</v>
      </c>
      <c r="I208">
        <v>4</v>
      </c>
    </row>
    <row r="209" spans="1:9" x14ac:dyDescent="0.25">
      <c r="A209" t="s">
        <v>216</v>
      </c>
      <c r="B209" t="s">
        <v>516</v>
      </c>
      <c r="C209" t="s">
        <v>521</v>
      </c>
      <c r="D209" t="s">
        <v>531</v>
      </c>
      <c r="E209">
        <v>2023</v>
      </c>
      <c r="F209">
        <v>3.55</v>
      </c>
      <c r="G209">
        <v>208</v>
      </c>
      <c r="H209">
        <v>3.8</v>
      </c>
      <c r="I209">
        <v>4</v>
      </c>
    </row>
    <row r="210" spans="1:9" x14ac:dyDescent="0.25">
      <c r="A210" t="s">
        <v>217</v>
      </c>
      <c r="B210" t="s">
        <v>516</v>
      </c>
      <c r="C210" t="s">
        <v>521</v>
      </c>
      <c r="D210" t="s">
        <v>527</v>
      </c>
      <c r="E210">
        <v>2025</v>
      </c>
      <c r="F210">
        <v>5.79</v>
      </c>
      <c r="G210">
        <v>480</v>
      </c>
      <c r="H210">
        <v>4.5</v>
      </c>
      <c r="I210">
        <v>4</v>
      </c>
    </row>
    <row r="211" spans="1:9" x14ac:dyDescent="0.25">
      <c r="A211" t="s">
        <v>218</v>
      </c>
      <c r="B211" t="s">
        <v>509</v>
      </c>
      <c r="C211" t="s">
        <v>519</v>
      </c>
      <c r="D211" t="s">
        <v>531</v>
      </c>
      <c r="E211">
        <v>2024</v>
      </c>
      <c r="F211">
        <v>5.58</v>
      </c>
      <c r="G211">
        <v>158</v>
      </c>
      <c r="H211">
        <v>4.4000000000000004</v>
      </c>
      <c r="I211">
        <v>2</v>
      </c>
    </row>
    <row r="212" spans="1:9" x14ac:dyDescent="0.25">
      <c r="A212" t="s">
        <v>219</v>
      </c>
      <c r="B212" t="s">
        <v>518</v>
      </c>
      <c r="C212" t="s">
        <v>519</v>
      </c>
      <c r="D212" t="s">
        <v>526</v>
      </c>
      <c r="E212">
        <v>2024</v>
      </c>
      <c r="F212">
        <v>10.039999999999999</v>
      </c>
      <c r="G212">
        <v>309</v>
      </c>
      <c r="H212">
        <v>4.2</v>
      </c>
      <c r="I212">
        <v>10</v>
      </c>
    </row>
    <row r="213" spans="1:9" x14ac:dyDescent="0.25">
      <c r="A213" t="s">
        <v>220</v>
      </c>
      <c r="B213" t="s">
        <v>517</v>
      </c>
      <c r="C213" t="s">
        <v>522</v>
      </c>
      <c r="D213" t="s">
        <v>527</v>
      </c>
      <c r="E213">
        <v>2025</v>
      </c>
      <c r="F213">
        <v>5.21</v>
      </c>
      <c r="G213">
        <v>425</v>
      </c>
      <c r="H213">
        <v>2.7</v>
      </c>
      <c r="I213">
        <v>8</v>
      </c>
    </row>
    <row r="214" spans="1:9" x14ac:dyDescent="0.25">
      <c r="A214" t="s">
        <v>221</v>
      </c>
      <c r="B214" t="s">
        <v>514</v>
      </c>
      <c r="C214" t="s">
        <v>521</v>
      </c>
      <c r="D214" t="s">
        <v>532</v>
      </c>
      <c r="E214">
        <v>2025</v>
      </c>
      <c r="F214">
        <v>1.28</v>
      </c>
      <c r="G214">
        <v>409</v>
      </c>
      <c r="H214">
        <v>2.7</v>
      </c>
      <c r="I214">
        <v>8</v>
      </c>
    </row>
    <row r="215" spans="1:9" x14ac:dyDescent="0.25">
      <c r="A215" t="s">
        <v>222</v>
      </c>
      <c r="B215" t="s">
        <v>515</v>
      </c>
      <c r="C215" t="s">
        <v>520</v>
      </c>
      <c r="D215" t="s">
        <v>523</v>
      </c>
      <c r="E215">
        <v>2023</v>
      </c>
      <c r="F215">
        <v>3.58</v>
      </c>
      <c r="G215">
        <v>146</v>
      </c>
      <c r="H215">
        <v>2.7</v>
      </c>
      <c r="I215">
        <v>2</v>
      </c>
    </row>
    <row r="216" spans="1:9" x14ac:dyDescent="0.25">
      <c r="A216" t="s">
        <v>223</v>
      </c>
      <c r="B216" t="s">
        <v>517</v>
      </c>
      <c r="C216" t="s">
        <v>522</v>
      </c>
      <c r="D216" t="s">
        <v>525</v>
      </c>
      <c r="E216">
        <v>2025</v>
      </c>
      <c r="F216">
        <v>5.69</v>
      </c>
      <c r="G216">
        <v>497</v>
      </c>
      <c r="H216">
        <v>3.9</v>
      </c>
      <c r="I216">
        <v>1</v>
      </c>
    </row>
    <row r="217" spans="1:9" x14ac:dyDescent="0.25">
      <c r="A217" t="s">
        <v>224</v>
      </c>
      <c r="B217" t="s">
        <v>515</v>
      </c>
      <c r="C217" t="s">
        <v>520</v>
      </c>
      <c r="D217" t="s">
        <v>525</v>
      </c>
      <c r="E217">
        <v>2025</v>
      </c>
      <c r="F217">
        <v>2.3199999999999998</v>
      </c>
      <c r="G217">
        <v>309</v>
      </c>
      <c r="H217">
        <v>3.7</v>
      </c>
      <c r="I217">
        <v>3</v>
      </c>
    </row>
    <row r="218" spans="1:9" x14ac:dyDescent="0.25">
      <c r="A218" t="s">
        <v>225</v>
      </c>
      <c r="B218" t="s">
        <v>513</v>
      </c>
      <c r="C218" t="s">
        <v>519</v>
      </c>
      <c r="D218" t="s">
        <v>526</v>
      </c>
      <c r="E218">
        <v>2023</v>
      </c>
      <c r="F218">
        <v>10.49</v>
      </c>
      <c r="G218">
        <v>255</v>
      </c>
      <c r="H218">
        <v>5</v>
      </c>
      <c r="I218">
        <v>2</v>
      </c>
    </row>
    <row r="219" spans="1:9" x14ac:dyDescent="0.25">
      <c r="A219" t="s">
        <v>226</v>
      </c>
      <c r="B219" t="s">
        <v>510</v>
      </c>
      <c r="C219" t="s">
        <v>520</v>
      </c>
      <c r="D219" t="s">
        <v>531</v>
      </c>
      <c r="E219">
        <v>2023</v>
      </c>
      <c r="F219">
        <v>2.73</v>
      </c>
      <c r="G219">
        <v>224</v>
      </c>
      <c r="H219">
        <v>5</v>
      </c>
      <c r="I219">
        <v>9</v>
      </c>
    </row>
    <row r="220" spans="1:9" x14ac:dyDescent="0.25">
      <c r="A220" t="s">
        <v>227</v>
      </c>
      <c r="B220" t="s">
        <v>510</v>
      </c>
      <c r="C220" t="s">
        <v>520</v>
      </c>
      <c r="D220" t="s">
        <v>525</v>
      </c>
      <c r="E220">
        <v>2023</v>
      </c>
      <c r="F220">
        <v>3.55</v>
      </c>
      <c r="G220">
        <v>144</v>
      </c>
      <c r="H220">
        <v>3.5</v>
      </c>
      <c r="I220">
        <v>6</v>
      </c>
    </row>
    <row r="221" spans="1:9" x14ac:dyDescent="0.25">
      <c r="A221" t="s">
        <v>228</v>
      </c>
      <c r="B221" t="s">
        <v>517</v>
      </c>
      <c r="C221" t="s">
        <v>522</v>
      </c>
      <c r="D221" t="s">
        <v>523</v>
      </c>
      <c r="E221">
        <v>2025</v>
      </c>
      <c r="F221">
        <v>7.53</v>
      </c>
      <c r="G221">
        <v>233</v>
      </c>
      <c r="H221">
        <v>3.3</v>
      </c>
      <c r="I221">
        <v>9</v>
      </c>
    </row>
    <row r="222" spans="1:9" x14ac:dyDescent="0.25">
      <c r="A222" t="s">
        <v>229</v>
      </c>
      <c r="B222" t="s">
        <v>512</v>
      </c>
      <c r="C222" t="s">
        <v>520</v>
      </c>
      <c r="D222" t="s">
        <v>532</v>
      </c>
      <c r="E222">
        <v>2024</v>
      </c>
      <c r="F222">
        <v>6.07</v>
      </c>
      <c r="G222">
        <v>336</v>
      </c>
      <c r="H222">
        <v>4.9000000000000004</v>
      </c>
      <c r="I222">
        <v>10</v>
      </c>
    </row>
    <row r="223" spans="1:9" x14ac:dyDescent="0.25">
      <c r="A223" t="s">
        <v>230</v>
      </c>
      <c r="B223" t="s">
        <v>518</v>
      </c>
      <c r="C223" t="s">
        <v>519</v>
      </c>
      <c r="D223" t="s">
        <v>527</v>
      </c>
      <c r="E223">
        <v>2023</v>
      </c>
      <c r="F223">
        <v>8.66</v>
      </c>
      <c r="G223">
        <v>152</v>
      </c>
      <c r="H223">
        <v>4.8</v>
      </c>
      <c r="I223">
        <v>5</v>
      </c>
    </row>
    <row r="224" spans="1:9" x14ac:dyDescent="0.25">
      <c r="A224" t="s">
        <v>231</v>
      </c>
      <c r="B224" t="s">
        <v>512</v>
      </c>
      <c r="C224" t="s">
        <v>520</v>
      </c>
      <c r="D224" t="s">
        <v>531</v>
      </c>
      <c r="E224">
        <v>2025</v>
      </c>
      <c r="F224">
        <v>5.96</v>
      </c>
      <c r="G224">
        <v>43</v>
      </c>
      <c r="H224">
        <v>3.3</v>
      </c>
      <c r="I224">
        <v>7</v>
      </c>
    </row>
    <row r="225" spans="1:9" x14ac:dyDescent="0.25">
      <c r="A225" t="s">
        <v>232</v>
      </c>
      <c r="B225" t="s">
        <v>516</v>
      </c>
      <c r="C225" t="s">
        <v>521</v>
      </c>
      <c r="D225" t="s">
        <v>531</v>
      </c>
      <c r="E225">
        <v>2025</v>
      </c>
      <c r="F225">
        <v>4.51</v>
      </c>
      <c r="G225">
        <v>528</v>
      </c>
      <c r="H225">
        <v>5</v>
      </c>
      <c r="I225">
        <v>9</v>
      </c>
    </row>
    <row r="226" spans="1:9" x14ac:dyDescent="0.25">
      <c r="A226" t="s">
        <v>233</v>
      </c>
      <c r="B226" t="s">
        <v>509</v>
      </c>
      <c r="C226" t="s">
        <v>519</v>
      </c>
      <c r="D226" t="s">
        <v>528</v>
      </c>
      <c r="E226">
        <v>2025</v>
      </c>
      <c r="F226">
        <v>6.89</v>
      </c>
      <c r="G226">
        <v>265</v>
      </c>
      <c r="H226">
        <v>3.3</v>
      </c>
      <c r="I226">
        <v>4</v>
      </c>
    </row>
    <row r="227" spans="1:9" x14ac:dyDescent="0.25">
      <c r="A227" t="s">
        <v>234</v>
      </c>
      <c r="B227" t="s">
        <v>516</v>
      </c>
      <c r="C227" t="s">
        <v>521</v>
      </c>
      <c r="D227" t="s">
        <v>526</v>
      </c>
      <c r="E227">
        <v>2023</v>
      </c>
      <c r="F227">
        <v>2.13</v>
      </c>
      <c r="G227">
        <v>220</v>
      </c>
      <c r="H227">
        <v>2.9</v>
      </c>
      <c r="I227">
        <v>5</v>
      </c>
    </row>
    <row r="228" spans="1:9" x14ac:dyDescent="0.25">
      <c r="A228" t="s">
        <v>235</v>
      </c>
      <c r="B228" t="s">
        <v>509</v>
      </c>
      <c r="C228" t="s">
        <v>519</v>
      </c>
      <c r="D228" t="s">
        <v>530</v>
      </c>
      <c r="E228">
        <v>2025</v>
      </c>
      <c r="F228">
        <v>10.68</v>
      </c>
      <c r="G228">
        <v>349</v>
      </c>
      <c r="H228">
        <v>2.6</v>
      </c>
      <c r="I228">
        <v>6</v>
      </c>
    </row>
    <row r="229" spans="1:9" x14ac:dyDescent="0.25">
      <c r="A229" t="s">
        <v>236</v>
      </c>
      <c r="B229" t="s">
        <v>517</v>
      </c>
      <c r="C229" t="s">
        <v>522</v>
      </c>
      <c r="D229" t="s">
        <v>531</v>
      </c>
      <c r="E229">
        <v>2025</v>
      </c>
      <c r="F229">
        <v>5.64</v>
      </c>
      <c r="G229">
        <v>283</v>
      </c>
      <c r="H229">
        <v>3</v>
      </c>
      <c r="I229">
        <v>10</v>
      </c>
    </row>
    <row r="230" spans="1:9" x14ac:dyDescent="0.25">
      <c r="A230" t="s">
        <v>237</v>
      </c>
      <c r="B230" t="s">
        <v>518</v>
      </c>
      <c r="C230" t="s">
        <v>519</v>
      </c>
      <c r="D230" t="s">
        <v>526</v>
      </c>
      <c r="E230">
        <v>2023</v>
      </c>
      <c r="F230">
        <v>7.29</v>
      </c>
      <c r="G230">
        <v>201</v>
      </c>
      <c r="H230">
        <v>4.9000000000000004</v>
      </c>
      <c r="I230">
        <v>10</v>
      </c>
    </row>
    <row r="231" spans="1:9" x14ac:dyDescent="0.25">
      <c r="A231" t="s">
        <v>238</v>
      </c>
      <c r="B231" t="s">
        <v>514</v>
      </c>
      <c r="C231" t="s">
        <v>521</v>
      </c>
      <c r="D231" t="s">
        <v>526</v>
      </c>
      <c r="E231">
        <v>2023</v>
      </c>
      <c r="F231">
        <v>3.67</v>
      </c>
      <c r="G231">
        <v>308</v>
      </c>
      <c r="H231">
        <v>4.9000000000000004</v>
      </c>
      <c r="I231">
        <v>8</v>
      </c>
    </row>
    <row r="232" spans="1:9" x14ac:dyDescent="0.25">
      <c r="A232" t="s">
        <v>239</v>
      </c>
      <c r="B232" t="s">
        <v>511</v>
      </c>
      <c r="C232" t="s">
        <v>521</v>
      </c>
      <c r="D232" t="s">
        <v>527</v>
      </c>
      <c r="E232">
        <v>2025</v>
      </c>
      <c r="F232">
        <v>5.74</v>
      </c>
      <c r="G232">
        <v>375</v>
      </c>
      <c r="H232">
        <v>3.7</v>
      </c>
      <c r="I232">
        <v>5</v>
      </c>
    </row>
    <row r="233" spans="1:9" x14ac:dyDescent="0.25">
      <c r="A233" t="s">
        <v>240</v>
      </c>
      <c r="B233" t="s">
        <v>512</v>
      </c>
      <c r="C233" t="s">
        <v>520</v>
      </c>
      <c r="D233" t="s">
        <v>530</v>
      </c>
      <c r="E233">
        <v>2025</v>
      </c>
      <c r="F233">
        <v>3.93</v>
      </c>
      <c r="G233">
        <v>82</v>
      </c>
      <c r="H233">
        <v>4.5</v>
      </c>
      <c r="I233">
        <v>10</v>
      </c>
    </row>
    <row r="234" spans="1:9" x14ac:dyDescent="0.25">
      <c r="A234" t="s">
        <v>241</v>
      </c>
      <c r="B234" t="s">
        <v>518</v>
      </c>
      <c r="C234" t="s">
        <v>519</v>
      </c>
      <c r="D234" t="s">
        <v>532</v>
      </c>
      <c r="E234">
        <v>2023</v>
      </c>
      <c r="F234">
        <v>9.1300000000000008</v>
      </c>
      <c r="G234">
        <v>270</v>
      </c>
      <c r="H234">
        <v>3.9</v>
      </c>
      <c r="I234">
        <v>2</v>
      </c>
    </row>
    <row r="235" spans="1:9" x14ac:dyDescent="0.25">
      <c r="A235" t="s">
        <v>242</v>
      </c>
      <c r="B235" t="s">
        <v>510</v>
      </c>
      <c r="C235" t="s">
        <v>520</v>
      </c>
      <c r="D235" t="s">
        <v>524</v>
      </c>
      <c r="E235">
        <v>2024</v>
      </c>
      <c r="F235">
        <v>1.59</v>
      </c>
      <c r="G235">
        <v>82</v>
      </c>
      <c r="H235">
        <v>3.2</v>
      </c>
      <c r="I235">
        <v>9</v>
      </c>
    </row>
    <row r="236" spans="1:9" x14ac:dyDescent="0.25">
      <c r="A236" t="s">
        <v>243</v>
      </c>
      <c r="B236" t="s">
        <v>518</v>
      </c>
      <c r="C236" t="s">
        <v>519</v>
      </c>
      <c r="D236" t="s">
        <v>528</v>
      </c>
      <c r="E236">
        <v>2023</v>
      </c>
      <c r="F236">
        <v>11.57</v>
      </c>
      <c r="G236">
        <v>193</v>
      </c>
      <c r="H236">
        <v>4.5</v>
      </c>
      <c r="I236">
        <v>6</v>
      </c>
    </row>
    <row r="237" spans="1:9" x14ac:dyDescent="0.25">
      <c r="A237" t="s">
        <v>244</v>
      </c>
      <c r="B237" t="s">
        <v>513</v>
      </c>
      <c r="C237" t="s">
        <v>519</v>
      </c>
      <c r="D237" t="s">
        <v>528</v>
      </c>
      <c r="E237">
        <v>2023</v>
      </c>
      <c r="F237">
        <v>7.17</v>
      </c>
      <c r="G237">
        <v>271</v>
      </c>
      <c r="H237">
        <v>3.1</v>
      </c>
      <c r="I237">
        <v>2</v>
      </c>
    </row>
    <row r="238" spans="1:9" x14ac:dyDescent="0.25">
      <c r="A238" t="s">
        <v>245</v>
      </c>
      <c r="B238" t="s">
        <v>516</v>
      </c>
      <c r="C238" t="s">
        <v>521</v>
      </c>
      <c r="D238" t="s">
        <v>529</v>
      </c>
      <c r="E238">
        <v>2023</v>
      </c>
      <c r="F238">
        <v>2.59</v>
      </c>
      <c r="G238">
        <v>200</v>
      </c>
      <c r="H238">
        <v>4.5999999999999996</v>
      </c>
      <c r="I238">
        <v>6</v>
      </c>
    </row>
    <row r="239" spans="1:9" x14ac:dyDescent="0.25">
      <c r="A239" t="s">
        <v>246</v>
      </c>
      <c r="B239" t="s">
        <v>518</v>
      </c>
      <c r="C239" t="s">
        <v>519</v>
      </c>
      <c r="D239" t="s">
        <v>531</v>
      </c>
      <c r="E239">
        <v>2023</v>
      </c>
      <c r="F239">
        <v>6.3</v>
      </c>
      <c r="G239">
        <v>321</v>
      </c>
      <c r="H239">
        <v>4.2</v>
      </c>
      <c r="I239">
        <v>3</v>
      </c>
    </row>
    <row r="240" spans="1:9" x14ac:dyDescent="0.25">
      <c r="A240" t="s">
        <v>247</v>
      </c>
      <c r="B240" t="s">
        <v>515</v>
      </c>
      <c r="C240" t="s">
        <v>520</v>
      </c>
      <c r="D240" t="s">
        <v>526</v>
      </c>
      <c r="E240">
        <v>2025</v>
      </c>
      <c r="F240">
        <v>1.04</v>
      </c>
      <c r="G240">
        <v>40</v>
      </c>
      <c r="H240">
        <v>2.5</v>
      </c>
      <c r="I240">
        <v>4</v>
      </c>
    </row>
    <row r="241" spans="1:9" x14ac:dyDescent="0.25">
      <c r="A241" t="s">
        <v>248</v>
      </c>
      <c r="B241" t="s">
        <v>518</v>
      </c>
      <c r="C241" t="s">
        <v>519</v>
      </c>
      <c r="D241" t="s">
        <v>530</v>
      </c>
      <c r="E241">
        <v>2025</v>
      </c>
      <c r="F241">
        <v>8.8699999999999992</v>
      </c>
      <c r="G241">
        <v>296</v>
      </c>
      <c r="H241">
        <v>2.8</v>
      </c>
      <c r="I241">
        <v>5</v>
      </c>
    </row>
    <row r="242" spans="1:9" x14ac:dyDescent="0.25">
      <c r="A242" t="s">
        <v>249</v>
      </c>
      <c r="B242" t="s">
        <v>511</v>
      </c>
      <c r="C242" t="s">
        <v>521</v>
      </c>
      <c r="D242" t="s">
        <v>532</v>
      </c>
      <c r="E242">
        <v>2023</v>
      </c>
      <c r="F242">
        <v>1.24</v>
      </c>
      <c r="G242">
        <v>364</v>
      </c>
      <c r="H242">
        <v>4.0999999999999996</v>
      </c>
      <c r="I242">
        <v>10</v>
      </c>
    </row>
    <row r="243" spans="1:9" x14ac:dyDescent="0.25">
      <c r="A243" t="s">
        <v>250</v>
      </c>
      <c r="B243" t="s">
        <v>515</v>
      </c>
      <c r="C243" t="s">
        <v>520</v>
      </c>
      <c r="D243" t="s">
        <v>524</v>
      </c>
      <c r="E243">
        <v>2023</v>
      </c>
      <c r="F243">
        <v>6.86</v>
      </c>
      <c r="G243">
        <v>255</v>
      </c>
      <c r="H243">
        <v>4</v>
      </c>
      <c r="I243">
        <v>1</v>
      </c>
    </row>
    <row r="244" spans="1:9" x14ac:dyDescent="0.25">
      <c r="A244" t="s">
        <v>251</v>
      </c>
      <c r="B244" t="s">
        <v>510</v>
      </c>
      <c r="C244" t="s">
        <v>520</v>
      </c>
      <c r="D244" t="s">
        <v>525</v>
      </c>
      <c r="E244">
        <v>2023</v>
      </c>
      <c r="F244">
        <v>6.03</v>
      </c>
      <c r="G244">
        <v>149</v>
      </c>
      <c r="H244">
        <v>3.6</v>
      </c>
      <c r="I244">
        <v>10</v>
      </c>
    </row>
    <row r="245" spans="1:9" x14ac:dyDescent="0.25">
      <c r="A245" t="s">
        <v>252</v>
      </c>
      <c r="B245" t="s">
        <v>516</v>
      </c>
      <c r="C245" t="s">
        <v>521</v>
      </c>
      <c r="D245" t="s">
        <v>529</v>
      </c>
      <c r="E245">
        <v>2025</v>
      </c>
      <c r="F245">
        <v>3.08</v>
      </c>
      <c r="G245">
        <v>490</v>
      </c>
      <c r="H245">
        <v>4.2</v>
      </c>
      <c r="I245">
        <v>9</v>
      </c>
    </row>
    <row r="246" spans="1:9" x14ac:dyDescent="0.25">
      <c r="A246" t="s">
        <v>253</v>
      </c>
      <c r="B246" t="s">
        <v>516</v>
      </c>
      <c r="C246" t="s">
        <v>521</v>
      </c>
      <c r="D246" t="s">
        <v>524</v>
      </c>
      <c r="E246">
        <v>2025</v>
      </c>
      <c r="F246">
        <v>3.72</v>
      </c>
      <c r="G246">
        <v>552</v>
      </c>
      <c r="H246">
        <v>5</v>
      </c>
      <c r="I246">
        <v>9</v>
      </c>
    </row>
    <row r="247" spans="1:9" x14ac:dyDescent="0.25">
      <c r="A247" t="s">
        <v>254</v>
      </c>
      <c r="B247" t="s">
        <v>513</v>
      </c>
      <c r="C247" t="s">
        <v>519</v>
      </c>
      <c r="D247" t="s">
        <v>528</v>
      </c>
      <c r="E247">
        <v>2024</v>
      </c>
      <c r="F247">
        <v>4.3499999999999996</v>
      </c>
      <c r="G247">
        <v>278</v>
      </c>
      <c r="H247">
        <v>5</v>
      </c>
      <c r="I247">
        <v>5</v>
      </c>
    </row>
    <row r="248" spans="1:9" x14ac:dyDescent="0.25">
      <c r="A248" t="s">
        <v>255</v>
      </c>
      <c r="B248" t="s">
        <v>513</v>
      </c>
      <c r="C248" t="s">
        <v>519</v>
      </c>
      <c r="D248" t="s">
        <v>527</v>
      </c>
      <c r="E248">
        <v>2023</v>
      </c>
      <c r="F248">
        <v>6.76</v>
      </c>
      <c r="G248">
        <v>133</v>
      </c>
      <c r="H248">
        <v>4.4000000000000004</v>
      </c>
      <c r="I248">
        <v>6</v>
      </c>
    </row>
    <row r="249" spans="1:9" x14ac:dyDescent="0.25">
      <c r="A249" t="s">
        <v>256</v>
      </c>
      <c r="B249" t="s">
        <v>518</v>
      </c>
      <c r="C249" t="s">
        <v>519</v>
      </c>
      <c r="D249" t="s">
        <v>523</v>
      </c>
      <c r="E249">
        <v>2024</v>
      </c>
      <c r="F249">
        <v>8.3699999999999992</v>
      </c>
      <c r="G249">
        <v>169</v>
      </c>
      <c r="H249">
        <v>4.5999999999999996</v>
      </c>
      <c r="I249">
        <v>8</v>
      </c>
    </row>
    <row r="250" spans="1:9" x14ac:dyDescent="0.25">
      <c r="A250" t="s">
        <v>257</v>
      </c>
      <c r="B250" t="s">
        <v>515</v>
      </c>
      <c r="C250" t="s">
        <v>520</v>
      </c>
      <c r="D250" t="s">
        <v>531</v>
      </c>
      <c r="E250">
        <v>2023</v>
      </c>
      <c r="F250">
        <v>1.44</v>
      </c>
      <c r="G250">
        <v>234</v>
      </c>
      <c r="H250">
        <v>2.6</v>
      </c>
      <c r="I250">
        <v>4</v>
      </c>
    </row>
    <row r="251" spans="1:9" x14ac:dyDescent="0.25">
      <c r="A251" t="s">
        <v>258</v>
      </c>
      <c r="B251" t="s">
        <v>513</v>
      </c>
      <c r="C251" t="s">
        <v>519</v>
      </c>
      <c r="D251" t="s">
        <v>529</v>
      </c>
      <c r="E251">
        <v>2023</v>
      </c>
      <c r="F251">
        <v>6.52</v>
      </c>
      <c r="G251">
        <v>238</v>
      </c>
      <c r="H251">
        <v>3.8</v>
      </c>
      <c r="I251">
        <v>9</v>
      </c>
    </row>
    <row r="252" spans="1:9" x14ac:dyDescent="0.25">
      <c r="A252" t="s">
        <v>259</v>
      </c>
      <c r="B252" t="s">
        <v>515</v>
      </c>
      <c r="C252" t="s">
        <v>520</v>
      </c>
      <c r="D252" t="s">
        <v>532</v>
      </c>
      <c r="E252">
        <v>2023</v>
      </c>
      <c r="F252">
        <v>6.27</v>
      </c>
      <c r="G252">
        <v>97</v>
      </c>
      <c r="H252">
        <v>3.2</v>
      </c>
      <c r="I252">
        <v>1</v>
      </c>
    </row>
    <row r="253" spans="1:9" x14ac:dyDescent="0.25">
      <c r="A253" t="s">
        <v>260</v>
      </c>
      <c r="B253" t="s">
        <v>516</v>
      </c>
      <c r="C253" t="s">
        <v>521</v>
      </c>
      <c r="D253" t="s">
        <v>532</v>
      </c>
      <c r="E253">
        <v>2023</v>
      </c>
      <c r="F253">
        <v>5</v>
      </c>
      <c r="G253">
        <v>373</v>
      </c>
      <c r="H253">
        <v>4.7</v>
      </c>
      <c r="I253">
        <v>8</v>
      </c>
    </row>
    <row r="254" spans="1:9" x14ac:dyDescent="0.25">
      <c r="A254" t="s">
        <v>261</v>
      </c>
      <c r="B254" t="s">
        <v>512</v>
      </c>
      <c r="C254" t="s">
        <v>520</v>
      </c>
      <c r="D254" t="s">
        <v>527</v>
      </c>
      <c r="E254">
        <v>2023</v>
      </c>
      <c r="F254">
        <v>4.47</v>
      </c>
      <c r="G254">
        <v>254</v>
      </c>
      <c r="H254">
        <v>3.4</v>
      </c>
      <c r="I254">
        <v>9</v>
      </c>
    </row>
    <row r="255" spans="1:9" x14ac:dyDescent="0.25">
      <c r="A255" t="s">
        <v>262</v>
      </c>
      <c r="B255" t="s">
        <v>514</v>
      </c>
      <c r="C255" t="s">
        <v>521</v>
      </c>
      <c r="D255" t="s">
        <v>524</v>
      </c>
      <c r="E255">
        <v>2025</v>
      </c>
      <c r="F255">
        <v>3.12</v>
      </c>
      <c r="G255">
        <v>370</v>
      </c>
      <c r="H255">
        <v>4</v>
      </c>
      <c r="I255">
        <v>3</v>
      </c>
    </row>
    <row r="256" spans="1:9" x14ac:dyDescent="0.25">
      <c r="A256" t="s">
        <v>263</v>
      </c>
      <c r="B256" t="s">
        <v>510</v>
      </c>
      <c r="C256" t="s">
        <v>520</v>
      </c>
      <c r="D256" t="s">
        <v>532</v>
      </c>
      <c r="E256">
        <v>2024</v>
      </c>
      <c r="F256">
        <v>1.72</v>
      </c>
      <c r="G256">
        <v>167</v>
      </c>
      <c r="H256">
        <v>4.2</v>
      </c>
      <c r="I256">
        <v>5</v>
      </c>
    </row>
    <row r="257" spans="1:9" x14ac:dyDescent="0.25">
      <c r="A257" t="s">
        <v>264</v>
      </c>
      <c r="B257" t="s">
        <v>515</v>
      </c>
      <c r="C257" t="s">
        <v>520</v>
      </c>
      <c r="D257" t="s">
        <v>525</v>
      </c>
      <c r="E257">
        <v>2025</v>
      </c>
      <c r="F257">
        <v>3.98</v>
      </c>
      <c r="G257">
        <v>227</v>
      </c>
      <c r="H257">
        <v>3.4</v>
      </c>
      <c r="I257">
        <v>1</v>
      </c>
    </row>
    <row r="258" spans="1:9" x14ac:dyDescent="0.25">
      <c r="A258" t="s">
        <v>265</v>
      </c>
      <c r="B258" t="s">
        <v>516</v>
      </c>
      <c r="C258" t="s">
        <v>521</v>
      </c>
      <c r="D258" t="s">
        <v>525</v>
      </c>
      <c r="E258">
        <v>2024</v>
      </c>
      <c r="F258">
        <v>2.37</v>
      </c>
      <c r="G258">
        <v>555</v>
      </c>
      <c r="H258">
        <v>4.9000000000000004</v>
      </c>
      <c r="I258">
        <v>2</v>
      </c>
    </row>
    <row r="259" spans="1:9" x14ac:dyDescent="0.25">
      <c r="A259" t="s">
        <v>266</v>
      </c>
      <c r="B259" t="s">
        <v>512</v>
      </c>
      <c r="C259" t="s">
        <v>520</v>
      </c>
      <c r="D259" t="s">
        <v>527</v>
      </c>
      <c r="E259">
        <v>2025</v>
      </c>
      <c r="F259">
        <v>6.61</v>
      </c>
      <c r="G259">
        <v>347</v>
      </c>
      <c r="H259">
        <v>2.9</v>
      </c>
      <c r="I259">
        <v>1</v>
      </c>
    </row>
    <row r="260" spans="1:9" x14ac:dyDescent="0.25">
      <c r="A260" t="s">
        <v>267</v>
      </c>
      <c r="B260" t="s">
        <v>518</v>
      </c>
      <c r="C260" t="s">
        <v>519</v>
      </c>
      <c r="D260" t="s">
        <v>525</v>
      </c>
      <c r="E260">
        <v>2025</v>
      </c>
      <c r="F260">
        <v>10.25</v>
      </c>
      <c r="G260">
        <v>97</v>
      </c>
      <c r="H260">
        <v>2.8</v>
      </c>
      <c r="I260">
        <v>4</v>
      </c>
    </row>
    <row r="261" spans="1:9" x14ac:dyDescent="0.25">
      <c r="A261" t="s">
        <v>268</v>
      </c>
      <c r="B261" t="s">
        <v>516</v>
      </c>
      <c r="C261" t="s">
        <v>521</v>
      </c>
      <c r="D261" t="s">
        <v>527</v>
      </c>
      <c r="E261">
        <v>2024</v>
      </c>
      <c r="F261">
        <v>5.75</v>
      </c>
      <c r="G261">
        <v>166</v>
      </c>
      <c r="H261">
        <v>4</v>
      </c>
      <c r="I261">
        <v>8</v>
      </c>
    </row>
    <row r="262" spans="1:9" x14ac:dyDescent="0.25">
      <c r="A262" t="s">
        <v>269</v>
      </c>
      <c r="B262" t="s">
        <v>516</v>
      </c>
      <c r="C262" t="s">
        <v>521</v>
      </c>
      <c r="D262" t="s">
        <v>527</v>
      </c>
      <c r="E262">
        <v>2024</v>
      </c>
      <c r="F262">
        <v>4.82</v>
      </c>
      <c r="G262">
        <v>443</v>
      </c>
      <c r="H262">
        <v>2.8</v>
      </c>
      <c r="I262">
        <v>6</v>
      </c>
    </row>
    <row r="263" spans="1:9" x14ac:dyDescent="0.25">
      <c r="A263" t="s">
        <v>270</v>
      </c>
      <c r="B263" t="s">
        <v>512</v>
      </c>
      <c r="C263" t="s">
        <v>520</v>
      </c>
      <c r="D263" t="s">
        <v>527</v>
      </c>
      <c r="E263">
        <v>2025</v>
      </c>
      <c r="F263">
        <v>2.95</v>
      </c>
      <c r="G263">
        <v>58</v>
      </c>
      <c r="H263">
        <v>2.6</v>
      </c>
      <c r="I263">
        <v>3</v>
      </c>
    </row>
    <row r="264" spans="1:9" x14ac:dyDescent="0.25">
      <c r="A264" t="s">
        <v>271</v>
      </c>
      <c r="B264" t="s">
        <v>515</v>
      </c>
      <c r="C264" t="s">
        <v>520</v>
      </c>
      <c r="D264" t="s">
        <v>530</v>
      </c>
      <c r="E264">
        <v>2024</v>
      </c>
      <c r="F264">
        <v>7.39</v>
      </c>
      <c r="G264">
        <v>60</v>
      </c>
      <c r="H264">
        <v>3.2</v>
      </c>
      <c r="I264">
        <v>5</v>
      </c>
    </row>
    <row r="265" spans="1:9" x14ac:dyDescent="0.25">
      <c r="A265" t="s">
        <v>272</v>
      </c>
      <c r="B265" t="s">
        <v>515</v>
      </c>
      <c r="C265" t="s">
        <v>520</v>
      </c>
      <c r="D265" t="s">
        <v>529</v>
      </c>
      <c r="E265">
        <v>2025</v>
      </c>
      <c r="F265">
        <v>3</v>
      </c>
      <c r="G265">
        <v>251</v>
      </c>
      <c r="H265">
        <v>3</v>
      </c>
      <c r="I265">
        <v>3</v>
      </c>
    </row>
    <row r="266" spans="1:9" x14ac:dyDescent="0.25">
      <c r="A266" t="s">
        <v>273</v>
      </c>
      <c r="B266" t="s">
        <v>509</v>
      </c>
      <c r="C266" t="s">
        <v>519</v>
      </c>
      <c r="D266" t="s">
        <v>526</v>
      </c>
      <c r="E266">
        <v>2023</v>
      </c>
      <c r="F266">
        <v>11.19</v>
      </c>
      <c r="G266">
        <v>307</v>
      </c>
      <c r="H266">
        <v>5</v>
      </c>
      <c r="I266">
        <v>6</v>
      </c>
    </row>
    <row r="267" spans="1:9" x14ac:dyDescent="0.25">
      <c r="A267" t="s">
        <v>274</v>
      </c>
      <c r="B267" t="s">
        <v>516</v>
      </c>
      <c r="C267" t="s">
        <v>521</v>
      </c>
      <c r="D267" t="s">
        <v>524</v>
      </c>
      <c r="E267">
        <v>2025</v>
      </c>
      <c r="F267">
        <v>3.71</v>
      </c>
      <c r="G267">
        <v>303</v>
      </c>
      <c r="H267">
        <v>4.5999999999999996</v>
      </c>
      <c r="I267">
        <v>3</v>
      </c>
    </row>
    <row r="268" spans="1:9" x14ac:dyDescent="0.25">
      <c r="A268" t="s">
        <v>275</v>
      </c>
      <c r="B268" t="s">
        <v>516</v>
      </c>
      <c r="C268" t="s">
        <v>521</v>
      </c>
      <c r="D268" t="s">
        <v>530</v>
      </c>
      <c r="E268">
        <v>2023</v>
      </c>
      <c r="F268">
        <v>1.61</v>
      </c>
      <c r="G268">
        <v>252</v>
      </c>
      <c r="H268">
        <v>4.5</v>
      </c>
      <c r="I268">
        <v>4</v>
      </c>
    </row>
    <row r="269" spans="1:9" x14ac:dyDescent="0.25">
      <c r="A269" t="s">
        <v>276</v>
      </c>
      <c r="B269" t="s">
        <v>515</v>
      </c>
      <c r="C269" t="s">
        <v>520</v>
      </c>
      <c r="D269" t="s">
        <v>523</v>
      </c>
      <c r="E269">
        <v>2024</v>
      </c>
      <c r="F269">
        <v>4.88</v>
      </c>
      <c r="G269">
        <v>188</v>
      </c>
      <c r="H269">
        <v>3.7</v>
      </c>
      <c r="I269">
        <v>9</v>
      </c>
    </row>
    <row r="270" spans="1:9" x14ac:dyDescent="0.25">
      <c r="A270" t="s">
        <v>277</v>
      </c>
      <c r="B270" t="s">
        <v>518</v>
      </c>
      <c r="C270" t="s">
        <v>519</v>
      </c>
      <c r="D270" t="s">
        <v>525</v>
      </c>
      <c r="E270">
        <v>2023</v>
      </c>
      <c r="F270">
        <v>4.53</v>
      </c>
      <c r="G270">
        <v>283</v>
      </c>
      <c r="H270">
        <v>5</v>
      </c>
      <c r="I270">
        <v>8</v>
      </c>
    </row>
    <row r="271" spans="1:9" x14ac:dyDescent="0.25">
      <c r="A271" t="s">
        <v>278</v>
      </c>
      <c r="B271" t="s">
        <v>510</v>
      </c>
      <c r="C271" t="s">
        <v>520</v>
      </c>
      <c r="D271" t="s">
        <v>528</v>
      </c>
      <c r="E271">
        <v>2024</v>
      </c>
      <c r="F271">
        <v>6.76</v>
      </c>
      <c r="G271">
        <v>37</v>
      </c>
      <c r="H271">
        <v>2.8</v>
      </c>
      <c r="I271">
        <v>6</v>
      </c>
    </row>
    <row r="272" spans="1:9" x14ac:dyDescent="0.25">
      <c r="A272" t="s">
        <v>279</v>
      </c>
      <c r="B272" t="s">
        <v>509</v>
      </c>
      <c r="C272" t="s">
        <v>519</v>
      </c>
      <c r="D272" t="s">
        <v>526</v>
      </c>
      <c r="E272">
        <v>2024</v>
      </c>
      <c r="F272">
        <v>9.44</v>
      </c>
      <c r="G272">
        <v>256</v>
      </c>
      <c r="H272">
        <v>2.8</v>
      </c>
      <c r="I272">
        <v>9</v>
      </c>
    </row>
    <row r="273" spans="1:9" x14ac:dyDescent="0.25">
      <c r="A273" t="s">
        <v>280</v>
      </c>
      <c r="B273" t="s">
        <v>517</v>
      </c>
      <c r="C273" t="s">
        <v>522</v>
      </c>
      <c r="D273" t="s">
        <v>531</v>
      </c>
      <c r="E273">
        <v>2023</v>
      </c>
      <c r="F273">
        <v>6.03</v>
      </c>
      <c r="G273">
        <v>228</v>
      </c>
      <c r="H273">
        <v>4.5999999999999996</v>
      </c>
      <c r="I273">
        <v>9</v>
      </c>
    </row>
    <row r="274" spans="1:9" x14ac:dyDescent="0.25">
      <c r="A274" t="s">
        <v>281</v>
      </c>
      <c r="B274" t="s">
        <v>518</v>
      </c>
      <c r="C274" t="s">
        <v>519</v>
      </c>
      <c r="D274" t="s">
        <v>532</v>
      </c>
      <c r="E274">
        <v>2023</v>
      </c>
      <c r="F274">
        <v>5.3</v>
      </c>
      <c r="G274">
        <v>195</v>
      </c>
      <c r="H274">
        <v>3.4</v>
      </c>
      <c r="I274">
        <v>9</v>
      </c>
    </row>
    <row r="275" spans="1:9" x14ac:dyDescent="0.25">
      <c r="A275" t="s">
        <v>282</v>
      </c>
      <c r="B275" t="s">
        <v>514</v>
      </c>
      <c r="C275" t="s">
        <v>521</v>
      </c>
      <c r="D275" t="s">
        <v>524</v>
      </c>
      <c r="E275">
        <v>2024</v>
      </c>
      <c r="F275">
        <v>1.98</v>
      </c>
      <c r="G275">
        <v>432</v>
      </c>
      <c r="H275">
        <v>3.2</v>
      </c>
      <c r="I275">
        <v>5</v>
      </c>
    </row>
    <row r="276" spans="1:9" x14ac:dyDescent="0.25">
      <c r="A276" t="s">
        <v>283</v>
      </c>
      <c r="B276" t="s">
        <v>517</v>
      </c>
      <c r="C276" t="s">
        <v>522</v>
      </c>
      <c r="D276" t="s">
        <v>530</v>
      </c>
      <c r="E276">
        <v>2023</v>
      </c>
      <c r="F276">
        <v>6.52</v>
      </c>
      <c r="G276">
        <v>286</v>
      </c>
      <c r="H276">
        <v>4</v>
      </c>
      <c r="I276">
        <v>10</v>
      </c>
    </row>
    <row r="277" spans="1:9" x14ac:dyDescent="0.25">
      <c r="A277" t="s">
        <v>284</v>
      </c>
      <c r="B277" t="s">
        <v>518</v>
      </c>
      <c r="C277" t="s">
        <v>519</v>
      </c>
      <c r="D277" t="s">
        <v>531</v>
      </c>
      <c r="E277">
        <v>2025</v>
      </c>
      <c r="F277">
        <v>9</v>
      </c>
      <c r="G277">
        <v>252</v>
      </c>
      <c r="H277">
        <v>4.5999999999999996</v>
      </c>
      <c r="I277">
        <v>10</v>
      </c>
    </row>
    <row r="278" spans="1:9" x14ac:dyDescent="0.25">
      <c r="A278" t="s">
        <v>285</v>
      </c>
      <c r="B278" t="s">
        <v>513</v>
      </c>
      <c r="C278" t="s">
        <v>519</v>
      </c>
      <c r="D278" t="s">
        <v>523</v>
      </c>
      <c r="E278">
        <v>2023</v>
      </c>
      <c r="F278">
        <v>4.3600000000000003</v>
      </c>
      <c r="G278">
        <v>215</v>
      </c>
      <c r="H278">
        <v>4.0999999999999996</v>
      </c>
      <c r="I278">
        <v>10</v>
      </c>
    </row>
    <row r="279" spans="1:9" x14ac:dyDescent="0.25">
      <c r="A279" t="s">
        <v>286</v>
      </c>
      <c r="B279" t="s">
        <v>512</v>
      </c>
      <c r="C279" t="s">
        <v>520</v>
      </c>
      <c r="D279" t="s">
        <v>525</v>
      </c>
      <c r="E279">
        <v>2025</v>
      </c>
      <c r="F279">
        <v>1.21</v>
      </c>
      <c r="G279">
        <v>321</v>
      </c>
      <c r="H279">
        <v>3.9</v>
      </c>
      <c r="I279">
        <v>5</v>
      </c>
    </row>
    <row r="280" spans="1:9" x14ac:dyDescent="0.25">
      <c r="A280" t="s">
        <v>287</v>
      </c>
      <c r="B280" t="s">
        <v>515</v>
      </c>
      <c r="C280" t="s">
        <v>520</v>
      </c>
      <c r="D280" t="s">
        <v>529</v>
      </c>
      <c r="E280">
        <v>2025</v>
      </c>
      <c r="F280">
        <v>3.84</v>
      </c>
      <c r="G280">
        <v>232</v>
      </c>
      <c r="H280">
        <v>2.7</v>
      </c>
      <c r="I280">
        <v>1</v>
      </c>
    </row>
    <row r="281" spans="1:9" x14ac:dyDescent="0.25">
      <c r="A281" t="s">
        <v>288</v>
      </c>
      <c r="B281" t="s">
        <v>518</v>
      </c>
      <c r="C281" t="s">
        <v>519</v>
      </c>
      <c r="D281" t="s">
        <v>526</v>
      </c>
      <c r="E281">
        <v>2024</v>
      </c>
      <c r="F281">
        <v>7.87</v>
      </c>
      <c r="G281">
        <v>184</v>
      </c>
      <c r="H281">
        <v>3.4</v>
      </c>
      <c r="I281">
        <v>3</v>
      </c>
    </row>
    <row r="282" spans="1:9" x14ac:dyDescent="0.25">
      <c r="A282" t="s">
        <v>289</v>
      </c>
      <c r="B282" t="s">
        <v>516</v>
      </c>
      <c r="C282" t="s">
        <v>521</v>
      </c>
      <c r="D282" t="s">
        <v>527</v>
      </c>
      <c r="E282">
        <v>2025</v>
      </c>
      <c r="F282">
        <v>5.94</v>
      </c>
      <c r="G282">
        <v>326</v>
      </c>
      <c r="H282">
        <v>4.9000000000000004</v>
      </c>
      <c r="I282">
        <v>3</v>
      </c>
    </row>
    <row r="283" spans="1:9" x14ac:dyDescent="0.25">
      <c r="A283" t="s">
        <v>290</v>
      </c>
      <c r="B283" t="s">
        <v>516</v>
      </c>
      <c r="C283" t="s">
        <v>521</v>
      </c>
      <c r="D283" t="s">
        <v>530</v>
      </c>
      <c r="E283">
        <v>2025</v>
      </c>
      <c r="F283">
        <v>1.53</v>
      </c>
      <c r="G283">
        <v>273</v>
      </c>
      <c r="H283">
        <v>3.7</v>
      </c>
      <c r="I283">
        <v>5</v>
      </c>
    </row>
    <row r="284" spans="1:9" x14ac:dyDescent="0.25">
      <c r="A284" t="s">
        <v>291</v>
      </c>
      <c r="B284" t="s">
        <v>515</v>
      </c>
      <c r="C284" t="s">
        <v>520</v>
      </c>
      <c r="D284" t="s">
        <v>529</v>
      </c>
      <c r="E284">
        <v>2023</v>
      </c>
      <c r="F284">
        <v>1.68</v>
      </c>
      <c r="G284">
        <v>148</v>
      </c>
      <c r="H284">
        <v>4.9000000000000004</v>
      </c>
      <c r="I284">
        <v>10</v>
      </c>
    </row>
    <row r="285" spans="1:9" x14ac:dyDescent="0.25">
      <c r="A285" t="s">
        <v>292</v>
      </c>
      <c r="B285" t="s">
        <v>512</v>
      </c>
      <c r="C285" t="s">
        <v>520</v>
      </c>
      <c r="D285" t="s">
        <v>529</v>
      </c>
      <c r="E285">
        <v>2023</v>
      </c>
      <c r="F285">
        <v>6.69</v>
      </c>
      <c r="G285">
        <v>295</v>
      </c>
      <c r="H285">
        <v>4.3</v>
      </c>
      <c r="I285">
        <v>4</v>
      </c>
    </row>
    <row r="286" spans="1:9" x14ac:dyDescent="0.25">
      <c r="A286" t="s">
        <v>293</v>
      </c>
      <c r="B286" t="s">
        <v>518</v>
      </c>
      <c r="C286" t="s">
        <v>519</v>
      </c>
      <c r="D286" t="s">
        <v>526</v>
      </c>
      <c r="E286">
        <v>2025</v>
      </c>
      <c r="F286">
        <v>7.73</v>
      </c>
      <c r="G286">
        <v>237</v>
      </c>
      <c r="H286">
        <v>3.7</v>
      </c>
      <c r="I286">
        <v>2</v>
      </c>
    </row>
    <row r="287" spans="1:9" x14ac:dyDescent="0.25">
      <c r="A287" t="s">
        <v>294</v>
      </c>
      <c r="B287" t="s">
        <v>512</v>
      </c>
      <c r="C287" t="s">
        <v>520</v>
      </c>
      <c r="D287" t="s">
        <v>530</v>
      </c>
      <c r="E287">
        <v>2024</v>
      </c>
      <c r="F287">
        <v>7.77</v>
      </c>
      <c r="G287">
        <v>110</v>
      </c>
      <c r="H287">
        <v>4</v>
      </c>
      <c r="I287">
        <v>1</v>
      </c>
    </row>
    <row r="288" spans="1:9" x14ac:dyDescent="0.25">
      <c r="A288" t="s">
        <v>295</v>
      </c>
      <c r="B288" t="s">
        <v>513</v>
      </c>
      <c r="C288" t="s">
        <v>519</v>
      </c>
      <c r="D288" t="s">
        <v>532</v>
      </c>
      <c r="E288">
        <v>2024</v>
      </c>
      <c r="F288">
        <v>8.7799999999999994</v>
      </c>
      <c r="G288">
        <v>320</v>
      </c>
      <c r="H288">
        <v>3.2</v>
      </c>
      <c r="I288">
        <v>1</v>
      </c>
    </row>
    <row r="289" spans="1:9" x14ac:dyDescent="0.25">
      <c r="A289" t="s">
        <v>296</v>
      </c>
      <c r="B289" t="s">
        <v>509</v>
      </c>
      <c r="C289" t="s">
        <v>519</v>
      </c>
      <c r="D289" t="s">
        <v>528</v>
      </c>
      <c r="E289">
        <v>2023</v>
      </c>
      <c r="F289">
        <v>11.06</v>
      </c>
      <c r="G289">
        <v>267</v>
      </c>
      <c r="H289">
        <v>4.4000000000000004</v>
      </c>
      <c r="I289">
        <v>6</v>
      </c>
    </row>
    <row r="290" spans="1:9" x14ac:dyDescent="0.25">
      <c r="A290" t="s">
        <v>297</v>
      </c>
      <c r="B290" t="s">
        <v>513</v>
      </c>
      <c r="C290" t="s">
        <v>519</v>
      </c>
      <c r="D290" t="s">
        <v>528</v>
      </c>
      <c r="E290">
        <v>2023</v>
      </c>
      <c r="F290">
        <v>8.56</v>
      </c>
      <c r="G290">
        <v>179</v>
      </c>
      <c r="H290">
        <v>3.4</v>
      </c>
      <c r="I290">
        <v>5</v>
      </c>
    </row>
    <row r="291" spans="1:9" x14ac:dyDescent="0.25">
      <c r="A291" t="s">
        <v>298</v>
      </c>
      <c r="B291" t="s">
        <v>509</v>
      </c>
      <c r="C291" t="s">
        <v>519</v>
      </c>
      <c r="D291" t="s">
        <v>528</v>
      </c>
      <c r="E291">
        <v>2025</v>
      </c>
      <c r="F291">
        <v>7.6</v>
      </c>
      <c r="G291">
        <v>223</v>
      </c>
      <c r="H291">
        <v>4.5999999999999996</v>
      </c>
      <c r="I291">
        <v>10</v>
      </c>
    </row>
    <row r="292" spans="1:9" x14ac:dyDescent="0.25">
      <c r="A292" t="s">
        <v>299</v>
      </c>
      <c r="B292" t="s">
        <v>517</v>
      </c>
      <c r="C292" t="s">
        <v>522</v>
      </c>
      <c r="D292" t="s">
        <v>524</v>
      </c>
      <c r="E292">
        <v>2023</v>
      </c>
      <c r="F292">
        <v>9.83</v>
      </c>
      <c r="G292">
        <v>401</v>
      </c>
      <c r="H292">
        <v>3.4</v>
      </c>
      <c r="I292">
        <v>6</v>
      </c>
    </row>
    <row r="293" spans="1:9" x14ac:dyDescent="0.25">
      <c r="A293" t="s">
        <v>300</v>
      </c>
      <c r="B293" t="s">
        <v>510</v>
      </c>
      <c r="C293" t="s">
        <v>520</v>
      </c>
      <c r="D293" t="s">
        <v>527</v>
      </c>
      <c r="E293">
        <v>2023</v>
      </c>
      <c r="F293">
        <v>2.39</v>
      </c>
      <c r="G293">
        <v>260</v>
      </c>
      <c r="H293">
        <v>3.5</v>
      </c>
      <c r="I293">
        <v>1</v>
      </c>
    </row>
    <row r="294" spans="1:9" x14ac:dyDescent="0.25">
      <c r="A294" t="s">
        <v>301</v>
      </c>
      <c r="B294" t="s">
        <v>513</v>
      </c>
      <c r="C294" t="s">
        <v>519</v>
      </c>
      <c r="D294" t="s">
        <v>523</v>
      </c>
      <c r="E294">
        <v>2023</v>
      </c>
      <c r="F294">
        <v>9.7100000000000009</v>
      </c>
      <c r="G294">
        <v>322</v>
      </c>
      <c r="H294">
        <v>3.8</v>
      </c>
      <c r="I294">
        <v>3</v>
      </c>
    </row>
    <row r="295" spans="1:9" x14ac:dyDescent="0.25">
      <c r="A295" t="s">
        <v>302</v>
      </c>
      <c r="B295" t="s">
        <v>517</v>
      </c>
      <c r="C295" t="s">
        <v>522</v>
      </c>
      <c r="D295" t="s">
        <v>530</v>
      </c>
      <c r="E295">
        <v>2023</v>
      </c>
      <c r="F295">
        <v>5.3</v>
      </c>
      <c r="G295">
        <v>363</v>
      </c>
      <c r="H295">
        <v>2.9</v>
      </c>
      <c r="I295">
        <v>10</v>
      </c>
    </row>
    <row r="296" spans="1:9" x14ac:dyDescent="0.25">
      <c r="A296" t="s">
        <v>303</v>
      </c>
      <c r="B296" t="s">
        <v>514</v>
      </c>
      <c r="C296" t="s">
        <v>521</v>
      </c>
      <c r="D296" t="s">
        <v>525</v>
      </c>
      <c r="E296">
        <v>2024</v>
      </c>
      <c r="F296">
        <v>3.54</v>
      </c>
      <c r="G296">
        <v>410</v>
      </c>
      <c r="H296">
        <v>3.8</v>
      </c>
      <c r="I296">
        <v>10</v>
      </c>
    </row>
    <row r="297" spans="1:9" x14ac:dyDescent="0.25">
      <c r="A297" t="s">
        <v>304</v>
      </c>
      <c r="B297" t="s">
        <v>514</v>
      </c>
      <c r="C297" t="s">
        <v>521</v>
      </c>
      <c r="D297" t="s">
        <v>526</v>
      </c>
      <c r="E297">
        <v>2023</v>
      </c>
      <c r="F297">
        <v>2.84</v>
      </c>
      <c r="G297">
        <v>494</v>
      </c>
      <c r="H297">
        <v>2.8</v>
      </c>
      <c r="I297">
        <v>7</v>
      </c>
    </row>
    <row r="298" spans="1:9" x14ac:dyDescent="0.25">
      <c r="A298" t="s">
        <v>305</v>
      </c>
      <c r="B298" t="s">
        <v>517</v>
      </c>
      <c r="C298" t="s">
        <v>522</v>
      </c>
      <c r="D298" t="s">
        <v>532</v>
      </c>
      <c r="E298">
        <v>2025</v>
      </c>
      <c r="F298">
        <v>9.1</v>
      </c>
      <c r="G298">
        <v>213</v>
      </c>
      <c r="H298">
        <v>4</v>
      </c>
      <c r="I298">
        <v>5</v>
      </c>
    </row>
    <row r="299" spans="1:9" x14ac:dyDescent="0.25">
      <c r="A299" t="s">
        <v>306</v>
      </c>
      <c r="B299" t="s">
        <v>517</v>
      </c>
      <c r="C299" t="s">
        <v>522</v>
      </c>
      <c r="D299" t="s">
        <v>525</v>
      </c>
      <c r="E299">
        <v>2023</v>
      </c>
      <c r="F299">
        <v>8.0500000000000007</v>
      </c>
      <c r="G299">
        <v>498</v>
      </c>
      <c r="H299">
        <v>3.7</v>
      </c>
      <c r="I299">
        <v>9</v>
      </c>
    </row>
    <row r="300" spans="1:9" x14ac:dyDescent="0.25">
      <c r="A300" t="s">
        <v>307</v>
      </c>
      <c r="B300" t="s">
        <v>517</v>
      </c>
      <c r="C300" t="s">
        <v>522</v>
      </c>
      <c r="D300" t="s">
        <v>528</v>
      </c>
      <c r="E300">
        <v>2023</v>
      </c>
      <c r="F300">
        <v>8.75</v>
      </c>
      <c r="G300">
        <v>324</v>
      </c>
      <c r="H300">
        <v>2.6</v>
      </c>
      <c r="I300">
        <v>2</v>
      </c>
    </row>
    <row r="301" spans="1:9" x14ac:dyDescent="0.25">
      <c r="A301" t="s">
        <v>308</v>
      </c>
      <c r="B301" t="s">
        <v>511</v>
      </c>
      <c r="C301" t="s">
        <v>521</v>
      </c>
      <c r="D301" t="s">
        <v>523</v>
      </c>
      <c r="E301">
        <v>2024</v>
      </c>
      <c r="F301">
        <v>2.57</v>
      </c>
      <c r="G301">
        <v>227</v>
      </c>
      <c r="H301">
        <v>3.5</v>
      </c>
      <c r="I301">
        <v>4</v>
      </c>
    </row>
    <row r="302" spans="1:9" x14ac:dyDescent="0.25">
      <c r="A302" t="s">
        <v>309</v>
      </c>
      <c r="B302" t="s">
        <v>512</v>
      </c>
      <c r="C302" t="s">
        <v>520</v>
      </c>
      <c r="D302" t="s">
        <v>530</v>
      </c>
      <c r="E302">
        <v>2025</v>
      </c>
      <c r="F302">
        <v>7.44</v>
      </c>
      <c r="G302">
        <v>31</v>
      </c>
      <c r="H302">
        <v>4.3</v>
      </c>
      <c r="I302">
        <v>9</v>
      </c>
    </row>
    <row r="303" spans="1:9" x14ac:dyDescent="0.25">
      <c r="A303" t="s">
        <v>310</v>
      </c>
      <c r="B303" t="s">
        <v>511</v>
      </c>
      <c r="C303" t="s">
        <v>521</v>
      </c>
      <c r="D303" t="s">
        <v>530</v>
      </c>
      <c r="E303">
        <v>2024</v>
      </c>
      <c r="F303">
        <v>5.99</v>
      </c>
      <c r="G303">
        <v>394</v>
      </c>
      <c r="H303">
        <v>3.8</v>
      </c>
      <c r="I303">
        <v>6</v>
      </c>
    </row>
    <row r="304" spans="1:9" x14ac:dyDescent="0.25">
      <c r="A304" t="s">
        <v>311</v>
      </c>
      <c r="B304" t="s">
        <v>518</v>
      </c>
      <c r="C304" t="s">
        <v>519</v>
      </c>
      <c r="D304" t="s">
        <v>526</v>
      </c>
      <c r="E304">
        <v>2025</v>
      </c>
      <c r="F304">
        <v>6.74</v>
      </c>
      <c r="G304">
        <v>261</v>
      </c>
      <c r="H304">
        <v>4.2</v>
      </c>
      <c r="I304">
        <v>5</v>
      </c>
    </row>
    <row r="305" spans="1:9" x14ac:dyDescent="0.25">
      <c r="A305" t="s">
        <v>312</v>
      </c>
      <c r="B305" t="s">
        <v>517</v>
      </c>
      <c r="C305" t="s">
        <v>522</v>
      </c>
      <c r="D305" t="s">
        <v>526</v>
      </c>
      <c r="E305">
        <v>2023</v>
      </c>
      <c r="F305">
        <v>9.6999999999999993</v>
      </c>
      <c r="G305">
        <v>342</v>
      </c>
      <c r="H305">
        <v>3.9</v>
      </c>
      <c r="I305">
        <v>4</v>
      </c>
    </row>
    <row r="306" spans="1:9" x14ac:dyDescent="0.25">
      <c r="A306" t="s">
        <v>313</v>
      </c>
      <c r="B306" t="s">
        <v>514</v>
      </c>
      <c r="C306" t="s">
        <v>521</v>
      </c>
      <c r="D306" t="s">
        <v>532</v>
      </c>
      <c r="E306">
        <v>2025</v>
      </c>
      <c r="F306">
        <v>2.04</v>
      </c>
      <c r="G306">
        <v>510</v>
      </c>
      <c r="H306">
        <v>3.7</v>
      </c>
      <c r="I306">
        <v>8</v>
      </c>
    </row>
    <row r="307" spans="1:9" x14ac:dyDescent="0.25">
      <c r="A307" t="s">
        <v>314</v>
      </c>
      <c r="B307" t="s">
        <v>516</v>
      </c>
      <c r="C307" t="s">
        <v>521</v>
      </c>
      <c r="D307" t="s">
        <v>530</v>
      </c>
      <c r="E307">
        <v>2025</v>
      </c>
      <c r="F307">
        <v>2.37</v>
      </c>
      <c r="G307">
        <v>212</v>
      </c>
      <c r="H307">
        <v>3.9</v>
      </c>
      <c r="I307">
        <v>9</v>
      </c>
    </row>
    <row r="308" spans="1:9" x14ac:dyDescent="0.25">
      <c r="A308" t="s">
        <v>315</v>
      </c>
      <c r="B308" t="s">
        <v>512</v>
      </c>
      <c r="C308" t="s">
        <v>520</v>
      </c>
      <c r="D308" t="s">
        <v>528</v>
      </c>
      <c r="E308">
        <v>2024</v>
      </c>
      <c r="F308">
        <v>7.68</v>
      </c>
      <c r="G308">
        <v>74</v>
      </c>
      <c r="H308">
        <v>3.2</v>
      </c>
      <c r="I308">
        <v>5</v>
      </c>
    </row>
    <row r="309" spans="1:9" x14ac:dyDescent="0.25">
      <c r="A309" t="s">
        <v>316</v>
      </c>
      <c r="B309" t="s">
        <v>509</v>
      </c>
      <c r="C309" t="s">
        <v>519</v>
      </c>
      <c r="D309" t="s">
        <v>527</v>
      </c>
      <c r="E309">
        <v>2024</v>
      </c>
      <c r="F309">
        <v>9.25</v>
      </c>
      <c r="G309">
        <v>325</v>
      </c>
      <c r="H309">
        <v>3</v>
      </c>
      <c r="I309">
        <v>9</v>
      </c>
    </row>
    <row r="310" spans="1:9" x14ac:dyDescent="0.25">
      <c r="A310" t="s">
        <v>317</v>
      </c>
      <c r="B310" t="s">
        <v>514</v>
      </c>
      <c r="C310" t="s">
        <v>521</v>
      </c>
      <c r="D310" t="s">
        <v>530</v>
      </c>
      <c r="E310">
        <v>2025</v>
      </c>
      <c r="F310">
        <v>2.36</v>
      </c>
      <c r="G310">
        <v>205</v>
      </c>
      <c r="H310">
        <v>4</v>
      </c>
      <c r="I310">
        <v>10</v>
      </c>
    </row>
    <row r="311" spans="1:9" x14ac:dyDescent="0.25">
      <c r="A311" t="s">
        <v>318</v>
      </c>
      <c r="B311" t="s">
        <v>511</v>
      </c>
      <c r="C311" t="s">
        <v>521</v>
      </c>
      <c r="D311" t="s">
        <v>529</v>
      </c>
      <c r="E311">
        <v>2023</v>
      </c>
      <c r="F311">
        <v>4.3499999999999996</v>
      </c>
      <c r="G311">
        <v>421</v>
      </c>
      <c r="H311">
        <v>3.1</v>
      </c>
      <c r="I311">
        <v>4</v>
      </c>
    </row>
    <row r="312" spans="1:9" x14ac:dyDescent="0.25">
      <c r="A312" t="s">
        <v>319</v>
      </c>
      <c r="B312" t="s">
        <v>513</v>
      </c>
      <c r="C312" t="s">
        <v>519</v>
      </c>
      <c r="D312" t="s">
        <v>524</v>
      </c>
      <c r="E312">
        <v>2024</v>
      </c>
      <c r="F312">
        <v>6.64</v>
      </c>
      <c r="G312">
        <v>321</v>
      </c>
      <c r="H312">
        <v>2.8</v>
      </c>
      <c r="I312">
        <v>3</v>
      </c>
    </row>
    <row r="313" spans="1:9" x14ac:dyDescent="0.25">
      <c r="A313" t="s">
        <v>320</v>
      </c>
      <c r="B313" t="s">
        <v>513</v>
      </c>
      <c r="C313" t="s">
        <v>519</v>
      </c>
      <c r="D313" t="s">
        <v>530</v>
      </c>
      <c r="E313">
        <v>2023</v>
      </c>
      <c r="F313">
        <v>7.26</v>
      </c>
      <c r="G313">
        <v>323</v>
      </c>
      <c r="H313">
        <v>3.7</v>
      </c>
      <c r="I313">
        <v>4</v>
      </c>
    </row>
    <row r="314" spans="1:9" x14ac:dyDescent="0.25">
      <c r="A314" t="s">
        <v>321</v>
      </c>
      <c r="B314" t="s">
        <v>514</v>
      </c>
      <c r="C314" t="s">
        <v>521</v>
      </c>
      <c r="D314" t="s">
        <v>527</v>
      </c>
      <c r="E314">
        <v>2024</v>
      </c>
      <c r="F314">
        <v>4.2300000000000004</v>
      </c>
      <c r="G314">
        <v>543</v>
      </c>
      <c r="H314">
        <v>2.7</v>
      </c>
      <c r="I314">
        <v>10</v>
      </c>
    </row>
    <row r="315" spans="1:9" x14ac:dyDescent="0.25">
      <c r="A315" t="s">
        <v>322</v>
      </c>
      <c r="B315" t="s">
        <v>511</v>
      </c>
      <c r="C315" t="s">
        <v>521</v>
      </c>
      <c r="D315" t="s">
        <v>530</v>
      </c>
      <c r="E315">
        <v>2025</v>
      </c>
      <c r="F315">
        <v>4.62</v>
      </c>
      <c r="G315">
        <v>169</v>
      </c>
      <c r="H315">
        <v>4.8</v>
      </c>
      <c r="I315">
        <v>3</v>
      </c>
    </row>
    <row r="316" spans="1:9" x14ac:dyDescent="0.25">
      <c r="A316" t="s">
        <v>323</v>
      </c>
      <c r="B316" t="s">
        <v>512</v>
      </c>
      <c r="C316" t="s">
        <v>520</v>
      </c>
      <c r="D316" t="s">
        <v>531</v>
      </c>
      <c r="E316">
        <v>2023</v>
      </c>
      <c r="F316">
        <v>7.98</v>
      </c>
      <c r="G316">
        <v>203</v>
      </c>
      <c r="H316">
        <v>4.5</v>
      </c>
      <c r="I316">
        <v>3</v>
      </c>
    </row>
    <row r="317" spans="1:9" x14ac:dyDescent="0.25">
      <c r="A317" t="s">
        <v>324</v>
      </c>
      <c r="B317" t="s">
        <v>514</v>
      </c>
      <c r="C317" t="s">
        <v>521</v>
      </c>
      <c r="D317" t="s">
        <v>523</v>
      </c>
      <c r="E317">
        <v>2023</v>
      </c>
      <c r="F317">
        <v>2.4900000000000002</v>
      </c>
      <c r="G317">
        <v>458</v>
      </c>
      <c r="H317">
        <v>2.8</v>
      </c>
      <c r="I317">
        <v>6</v>
      </c>
    </row>
    <row r="318" spans="1:9" x14ac:dyDescent="0.25">
      <c r="A318" t="s">
        <v>325</v>
      </c>
      <c r="B318" t="s">
        <v>514</v>
      </c>
      <c r="C318" t="s">
        <v>521</v>
      </c>
      <c r="D318" t="s">
        <v>526</v>
      </c>
      <c r="E318">
        <v>2025</v>
      </c>
      <c r="F318">
        <v>3.72</v>
      </c>
      <c r="G318">
        <v>402</v>
      </c>
      <c r="H318">
        <v>4.7</v>
      </c>
      <c r="I318">
        <v>3</v>
      </c>
    </row>
    <row r="319" spans="1:9" x14ac:dyDescent="0.25">
      <c r="A319" t="s">
        <v>326</v>
      </c>
      <c r="B319" t="s">
        <v>510</v>
      </c>
      <c r="C319" t="s">
        <v>520</v>
      </c>
      <c r="D319" t="s">
        <v>526</v>
      </c>
      <c r="E319">
        <v>2024</v>
      </c>
      <c r="F319">
        <v>2.35</v>
      </c>
      <c r="G319">
        <v>57</v>
      </c>
      <c r="H319">
        <v>3.3</v>
      </c>
      <c r="I319">
        <v>8</v>
      </c>
    </row>
    <row r="320" spans="1:9" x14ac:dyDescent="0.25">
      <c r="A320" t="s">
        <v>327</v>
      </c>
      <c r="B320" t="s">
        <v>514</v>
      </c>
      <c r="C320" t="s">
        <v>521</v>
      </c>
      <c r="D320" t="s">
        <v>531</v>
      </c>
      <c r="E320">
        <v>2023</v>
      </c>
      <c r="F320">
        <v>4.68</v>
      </c>
      <c r="G320">
        <v>554</v>
      </c>
      <c r="H320">
        <v>3.2</v>
      </c>
      <c r="I320">
        <v>4</v>
      </c>
    </row>
    <row r="321" spans="1:9" x14ac:dyDescent="0.25">
      <c r="A321" t="s">
        <v>328</v>
      </c>
      <c r="B321" t="s">
        <v>518</v>
      </c>
      <c r="C321" t="s">
        <v>519</v>
      </c>
      <c r="D321" t="s">
        <v>525</v>
      </c>
      <c r="E321">
        <v>2025</v>
      </c>
      <c r="F321">
        <v>11.18</v>
      </c>
      <c r="G321">
        <v>298</v>
      </c>
      <c r="H321">
        <v>3.8</v>
      </c>
      <c r="I321">
        <v>2</v>
      </c>
    </row>
    <row r="322" spans="1:9" x14ac:dyDescent="0.25">
      <c r="A322" t="s">
        <v>329</v>
      </c>
      <c r="B322" t="s">
        <v>512</v>
      </c>
      <c r="C322" t="s">
        <v>520</v>
      </c>
      <c r="D322" t="s">
        <v>524</v>
      </c>
      <c r="E322">
        <v>2023</v>
      </c>
      <c r="F322">
        <v>7.87</v>
      </c>
      <c r="G322">
        <v>244</v>
      </c>
      <c r="H322">
        <v>3.3</v>
      </c>
      <c r="I322">
        <v>4</v>
      </c>
    </row>
    <row r="323" spans="1:9" x14ac:dyDescent="0.25">
      <c r="A323" t="s">
        <v>330</v>
      </c>
      <c r="B323" t="s">
        <v>513</v>
      </c>
      <c r="C323" t="s">
        <v>519</v>
      </c>
      <c r="D323" t="s">
        <v>532</v>
      </c>
      <c r="E323">
        <v>2024</v>
      </c>
      <c r="F323">
        <v>5.88</v>
      </c>
      <c r="G323">
        <v>216</v>
      </c>
      <c r="H323">
        <v>4.9000000000000004</v>
      </c>
      <c r="I323">
        <v>5</v>
      </c>
    </row>
    <row r="324" spans="1:9" x14ac:dyDescent="0.25">
      <c r="A324" t="s">
        <v>331</v>
      </c>
      <c r="B324" t="s">
        <v>517</v>
      </c>
      <c r="C324" t="s">
        <v>522</v>
      </c>
      <c r="D324" t="s">
        <v>525</v>
      </c>
      <c r="E324">
        <v>2023</v>
      </c>
      <c r="F324">
        <v>4.83</v>
      </c>
      <c r="G324">
        <v>384</v>
      </c>
      <c r="H324">
        <v>4.2</v>
      </c>
      <c r="I324">
        <v>1</v>
      </c>
    </row>
    <row r="325" spans="1:9" x14ac:dyDescent="0.25">
      <c r="A325" t="s">
        <v>332</v>
      </c>
      <c r="B325" t="s">
        <v>509</v>
      </c>
      <c r="C325" t="s">
        <v>519</v>
      </c>
      <c r="D325" t="s">
        <v>526</v>
      </c>
      <c r="E325">
        <v>2024</v>
      </c>
      <c r="F325">
        <v>5.28</v>
      </c>
      <c r="G325">
        <v>337</v>
      </c>
      <c r="H325">
        <v>4.8</v>
      </c>
      <c r="I325">
        <v>5</v>
      </c>
    </row>
    <row r="326" spans="1:9" x14ac:dyDescent="0.25">
      <c r="A326" t="s">
        <v>333</v>
      </c>
      <c r="B326" t="s">
        <v>509</v>
      </c>
      <c r="C326" t="s">
        <v>519</v>
      </c>
      <c r="D326" t="s">
        <v>532</v>
      </c>
      <c r="E326">
        <v>2024</v>
      </c>
      <c r="F326">
        <v>8.92</v>
      </c>
      <c r="G326">
        <v>192</v>
      </c>
      <c r="H326">
        <v>4.9000000000000004</v>
      </c>
      <c r="I326">
        <v>8</v>
      </c>
    </row>
    <row r="327" spans="1:9" x14ac:dyDescent="0.25">
      <c r="A327" t="s">
        <v>334</v>
      </c>
      <c r="B327" t="s">
        <v>518</v>
      </c>
      <c r="C327" t="s">
        <v>519</v>
      </c>
      <c r="D327" t="s">
        <v>526</v>
      </c>
      <c r="E327">
        <v>2025</v>
      </c>
      <c r="F327">
        <v>11.91</v>
      </c>
      <c r="G327">
        <v>271</v>
      </c>
      <c r="H327">
        <v>3.5</v>
      </c>
      <c r="I327">
        <v>9</v>
      </c>
    </row>
    <row r="328" spans="1:9" x14ac:dyDescent="0.25">
      <c r="A328" t="s">
        <v>335</v>
      </c>
      <c r="B328" t="s">
        <v>515</v>
      </c>
      <c r="C328" t="s">
        <v>520</v>
      </c>
      <c r="D328" t="s">
        <v>530</v>
      </c>
      <c r="E328">
        <v>2025</v>
      </c>
      <c r="F328">
        <v>6.78</v>
      </c>
      <c r="G328">
        <v>126</v>
      </c>
      <c r="H328">
        <v>4.2</v>
      </c>
      <c r="I328">
        <v>10</v>
      </c>
    </row>
    <row r="329" spans="1:9" x14ac:dyDescent="0.25">
      <c r="A329" t="s">
        <v>336</v>
      </c>
      <c r="B329" t="s">
        <v>509</v>
      </c>
      <c r="C329" t="s">
        <v>519</v>
      </c>
      <c r="D329" t="s">
        <v>530</v>
      </c>
      <c r="E329">
        <v>2024</v>
      </c>
      <c r="F329">
        <v>8.23</v>
      </c>
      <c r="G329">
        <v>265</v>
      </c>
      <c r="H329">
        <v>2.7</v>
      </c>
      <c r="I329">
        <v>10</v>
      </c>
    </row>
    <row r="330" spans="1:9" x14ac:dyDescent="0.25">
      <c r="A330" t="s">
        <v>337</v>
      </c>
      <c r="B330" t="s">
        <v>509</v>
      </c>
      <c r="C330" t="s">
        <v>519</v>
      </c>
      <c r="D330" t="s">
        <v>523</v>
      </c>
      <c r="E330">
        <v>2025</v>
      </c>
      <c r="F330">
        <v>11.22</v>
      </c>
      <c r="G330">
        <v>183</v>
      </c>
      <c r="H330">
        <v>3.9</v>
      </c>
      <c r="I330">
        <v>3</v>
      </c>
    </row>
    <row r="331" spans="1:9" x14ac:dyDescent="0.25">
      <c r="A331" t="s">
        <v>338</v>
      </c>
      <c r="B331" t="s">
        <v>518</v>
      </c>
      <c r="C331" t="s">
        <v>519</v>
      </c>
      <c r="D331" t="s">
        <v>527</v>
      </c>
      <c r="E331">
        <v>2025</v>
      </c>
      <c r="F331">
        <v>7.53</v>
      </c>
      <c r="G331">
        <v>185</v>
      </c>
      <c r="H331">
        <v>4.3</v>
      </c>
      <c r="I331">
        <v>8</v>
      </c>
    </row>
    <row r="332" spans="1:9" x14ac:dyDescent="0.25">
      <c r="A332" t="s">
        <v>339</v>
      </c>
      <c r="B332" t="s">
        <v>509</v>
      </c>
      <c r="C332" t="s">
        <v>519</v>
      </c>
      <c r="D332" t="s">
        <v>530</v>
      </c>
      <c r="E332">
        <v>2024</v>
      </c>
      <c r="F332">
        <v>10.47</v>
      </c>
      <c r="G332">
        <v>312</v>
      </c>
      <c r="H332">
        <v>2.8</v>
      </c>
      <c r="I332">
        <v>7</v>
      </c>
    </row>
    <row r="333" spans="1:9" x14ac:dyDescent="0.25">
      <c r="A333" t="s">
        <v>340</v>
      </c>
      <c r="B333" t="s">
        <v>515</v>
      </c>
      <c r="C333" t="s">
        <v>520</v>
      </c>
      <c r="D333" t="s">
        <v>525</v>
      </c>
      <c r="E333">
        <v>2023</v>
      </c>
      <c r="F333">
        <v>4.91</v>
      </c>
      <c r="G333">
        <v>344</v>
      </c>
      <c r="H333">
        <v>4.5</v>
      </c>
      <c r="I333">
        <v>1</v>
      </c>
    </row>
    <row r="334" spans="1:9" x14ac:dyDescent="0.25">
      <c r="A334" t="s">
        <v>341</v>
      </c>
      <c r="B334" t="s">
        <v>512</v>
      </c>
      <c r="C334" t="s">
        <v>520</v>
      </c>
      <c r="D334" t="s">
        <v>532</v>
      </c>
      <c r="E334">
        <v>2023</v>
      </c>
      <c r="F334">
        <v>6.22</v>
      </c>
      <c r="G334">
        <v>296</v>
      </c>
      <c r="H334">
        <v>2.7</v>
      </c>
      <c r="I334">
        <v>7</v>
      </c>
    </row>
    <row r="335" spans="1:9" x14ac:dyDescent="0.25">
      <c r="A335" t="s">
        <v>342</v>
      </c>
      <c r="B335" t="s">
        <v>516</v>
      </c>
      <c r="C335" t="s">
        <v>521</v>
      </c>
      <c r="D335" t="s">
        <v>524</v>
      </c>
      <c r="E335">
        <v>2025</v>
      </c>
      <c r="F335">
        <v>5.97</v>
      </c>
      <c r="G335">
        <v>185</v>
      </c>
      <c r="H335">
        <v>5</v>
      </c>
      <c r="I335">
        <v>8</v>
      </c>
    </row>
    <row r="336" spans="1:9" x14ac:dyDescent="0.25">
      <c r="A336" t="s">
        <v>343</v>
      </c>
      <c r="B336" t="s">
        <v>513</v>
      </c>
      <c r="C336" t="s">
        <v>519</v>
      </c>
      <c r="D336" t="s">
        <v>532</v>
      </c>
      <c r="E336">
        <v>2024</v>
      </c>
      <c r="F336">
        <v>5.44</v>
      </c>
      <c r="G336">
        <v>149</v>
      </c>
      <c r="H336">
        <v>4.4000000000000004</v>
      </c>
      <c r="I336">
        <v>7</v>
      </c>
    </row>
    <row r="337" spans="1:9" x14ac:dyDescent="0.25">
      <c r="A337" t="s">
        <v>344</v>
      </c>
      <c r="B337" t="s">
        <v>516</v>
      </c>
      <c r="C337" t="s">
        <v>521</v>
      </c>
      <c r="D337" t="s">
        <v>528</v>
      </c>
      <c r="E337">
        <v>2024</v>
      </c>
      <c r="F337">
        <v>5.35</v>
      </c>
      <c r="G337">
        <v>343</v>
      </c>
      <c r="H337">
        <v>3.4</v>
      </c>
      <c r="I337">
        <v>9</v>
      </c>
    </row>
    <row r="338" spans="1:9" x14ac:dyDescent="0.25">
      <c r="A338" t="s">
        <v>345</v>
      </c>
      <c r="B338" t="s">
        <v>518</v>
      </c>
      <c r="C338" t="s">
        <v>519</v>
      </c>
      <c r="D338" t="s">
        <v>527</v>
      </c>
      <c r="E338">
        <v>2023</v>
      </c>
      <c r="F338">
        <v>5.43</v>
      </c>
      <c r="G338">
        <v>281</v>
      </c>
      <c r="H338">
        <v>3.8</v>
      </c>
      <c r="I338">
        <v>4</v>
      </c>
    </row>
    <row r="339" spans="1:9" x14ac:dyDescent="0.25">
      <c r="A339" t="s">
        <v>346</v>
      </c>
      <c r="B339" t="s">
        <v>513</v>
      </c>
      <c r="C339" t="s">
        <v>519</v>
      </c>
      <c r="D339" t="s">
        <v>523</v>
      </c>
      <c r="E339">
        <v>2024</v>
      </c>
      <c r="F339">
        <v>7.7</v>
      </c>
      <c r="G339">
        <v>297</v>
      </c>
      <c r="H339">
        <v>3.8</v>
      </c>
      <c r="I339">
        <v>4</v>
      </c>
    </row>
    <row r="340" spans="1:9" x14ac:dyDescent="0.25">
      <c r="A340" t="s">
        <v>347</v>
      </c>
      <c r="B340" t="s">
        <v>511</v>
      </c>
      <c r="C340" t="s">
        <v>521</v>
      </c>
      <c r="D340" t="s">
        <v>526</v>
      </c>
      <c r="E340">
        <v>2024</v>
      </c>
      <c r="F340">
        <v>1.78</v>
      </c>
      <c r="G340">
        <v>246</v>
      </c>
      <c r="H340">
        <v>4.8</v>
      </c>
      <c r="I340">
        <v>2</v>
      </c>
    </row>
    <row r="341" spans="1:9" x14ac:dyDescent="0.25">
      <c r="A341" t="s">
        <v>348</v>
      </c>
      <c r="B341" t="s">
        <v>513</v>
      </c>
      <c r="C341" t="s">
        <v>519</v>
      </c>
      <c r="D341" t="s">
        <v>528</v>
      </c>
      <c r="E341">
        <v>2025</v>
      </c>
      <c r="F341">
        <v>10.130000000000001</v>
      </c>
      <c r="G341">
        <v>88</v>
      </c>
      <c r="H341">
        <v>3.1</v>
      </c>
      <c r="I341">
        <v>2</v>
      </c>
    </row>
    <row r="342" spans="1:9" x14ac:dyDescent="0.25">
      <c r="A342" t="s">
        <v>349</v>
      </c>
      <c r="B342" t="s">
        <v>509</v>
      </c>
      <c r="C342" t="s">
        <v>519</v>
      </c>
      <c r="D342" t="s">
        <v>525</v>
      </c>
      <c r="E342">
        <v>2023</v>
      </c>
      <c r="F342">
        <v>7.57</v>
      </c>
      <c r="G342">
        <v>104</v>
      </c>
      <c r="H342">
        <v>3.1</v>
      </c>
      <c r="I342">
        <v>1</v>
      </c>
    </row>
    <row r="343" spans="1:9" x14ac:dyDescent="0.25">
      <c r="A343" t="s">
        <v>350</v>
      </c>
      <c r="B343" t="s">
        <v>512</v>
      </c>
      <c r="C343" t="s">
        <v>520</v>
      </c>
      <c r="D343" t="s">
        <v>526</v>
      </c>
      <c r="E343">
        <v>2023</v>
      </c>
      <c r="F343">
        <v>4.78</v>
      </c>
      <c r="G343">
        <v>28</v>
      </c>
      <c r="H343">
        <v>2.9</v>
      </c>
      <c r="I343">
        <v>5</v>
      </c>
    </row>
    <row r="344" spans="1:9" x14ac:dyDescent="0.25">
      <c r="A344" t="s">
        <v>351</v>
      </c>
      <c r="B344" t="s">
        <v>511</v>
      </c>
      <c r="C344" t="s">
        <v>521</v>
      </c>
      <c r="D344" t="s">
        <v>525</v>
      </c>
      <c r="E344">
        <v>2024</v>
      </c>
      <c r="F344">
        <v>3.89</v>
      </c>
      <c r="G344">
        <v>545</v>
      </c>
      <c r="H344">
        <v>4.2</v>
      </c>
      <c r="I344">
        <v>6</v>
      </c>
    </row>
    <row r="345" spans="1:9" x14ac:dyDescent="0.25">
      <c r="A345" t="s">
        <v>352</v>
      </c>
      <c r="B345" t="s">
        <v>511</v>
      </c>
      <c r="C345" t="s">
        <v>521</v>
      </c>
      <c r="D345" t="s">
        <v>532</v>
      </c>
      <c r="E345">
        <v>2023</v>
      </c>
      <c r="F345">
        <v>5.93</v>
      </c>
      <c r="G345">
        <v>416</v>
      </c>
      <c r="H345">
        <v>3.1</v>
      </c>
      <c r="I345">
        <v>5</v>
      </c>
    </row>
    <row r="346" spans="1:9" x14ac:dyDescent="0.25">
      <c r="A346" t="s">
        <v>353</v>
      </c>
      <c r="B346" t="s">
        <v>514</v>
      </c>
      <c r="C346" t="s">
        <v>521</v>
      </c>
      <c r="D346" t="s">
        <v>523</v>
      </c>
      <c r="E346">
        <v>2025</v>
      </c>
      <c r="F346">
        <v>5.74</v>
      </c>
      <c r="G346">
        <v>600</v>
      </c>
      <c r="H346">
        <v>4.3</v>
      </c>
      <c r="I346">
        <v>3</v>
      </c>
    </row>
    <row r="347" spans="1:9" x14ac:dyDescent="0.25">
      <c r="A347" t="s">
        <v>354</v>
      </c>
      <c r="B347" t="s">
        <v>512</v>
      </c>
      <c r="C347" t="s">
        <v>520</v>
      </c>
      <c r="D347" t="s">
        <v>530</v>
      </c>
      <c r="E347">
        <v>2024</v>
      </c>
      <c r="F347">
        <v>1.33</v>
      </c>
      <c r="G347">
        <v>176</v>
      </c>
      <c r="H347">
        <v>4.9000000000000004</v>
      </c>
      <c r="I347">
        <v>7</v>
      </c>
    </row>
    <row r="348" spans="1:9" x14ac:dyDescent="0.25">
      <c r="A348" t="s">
        <v>355</v>
      </c>
      <c r="B348" t="s">
        <v>510</v>
      </c>
      <c r="C348" t="s">
        <v>520</v>
      </c>
      <c r="D348" t="s">
        <v>527</v>
      </c>
      <c r="E348">
        <v>2025</v>
      </c>
      <c r="F348">
        <v>3.91</v>
      </c>
      <c r="G348">
        <v>76</v>
      </c>
      <c r="H348">
        <v>3.2</v>
      </c>
      <c r="I348">
        <v>3</v>
      </c>
    </row>
    <row r="349" spans="1:9" x14ac:dyDescent="0.25">
      <c r="A349" t="s">
        <v>356</v>
      </c>
      <c r="B349" t="s">
        <v>510</v>
      </c>
      <c r="C349" t="s">
        <v>520</v>
      </c>
      <c r="D349" t="s">
        <v>526</v>
      </c>
      <c r="E349">
        <v>2023</v>
      </c>
      <c r="F349">
        <v>6.95</v>
      </c>
      <c r="G349">
        <v>153</v>
      </c>
      <c r="H349">
        <v>4.5999999999999996</v>
      </c>
      <c r="I349">
        <v>3</v>
      </c>
    </row>
    <row r="350" spans="1:9" x14ac:dyDescent="0.25">
      <c r="A350" t="s">
        <v>357</v>
      </c>
      <c r="B350" t="s">
        <v>515</v>
      </c>
      <c r="C350" t="s">
        <v>520</v>
      </c>
      <c r="D350" t="s">
        <v>523</v>
      </c>
      <c r="E350">
        <v>2025</v>
      </c>
      <c r="F350">
        <v>3.89</v>
      </c>
      <c r="G350">
        <v>213</v>
      </c>
      <c r="H350">
        <v>3.9</v>
      </c>
      <c r="I350">
        <v>3</v>
      </c>
    </row>
    <row r="351" spans="1:9" x14ac:dyDescent="0.25">
      <c r="A351" t="s">
        <v>358</v>
      </c>
      <c r="B351" t="s">
        <v>512</v>
      </c>
      <c r="C351" t="s">
        <v>520</v>
      </c>
      <c r="D351" t="s">
        <v>529</v>
      </c>
      <c r="E351">
        <v>2024</v>
      </c>
      <c r="F351">
        <v>2.42</v>
      </c>
      <c r="G351">
        <v>331</v>
      </c>
      <c r="H351">
        <v>2.7</v>
      </c>
      <c r="I351">
        <v>8</v>
      </c>
    </row>
    <row r="352" spans="1:9" x14ac:dyDescent="0.25">
      <c r="A352" t="s">
        <v>359</v>
      </c>
      <c r="B352" t="s">
        <v>516</v>
      </c>
      <c r="C352" t="s">
        <v>521</v>
      </c>
      <c r="D352" t="s">
        <v>524</v>
      </c>
      <c r="E352">
        <v>2025</v>
      </c>
      <c r="F352">
        <v>4.62</v>
      </c>
      <c r="G352">
        <v>247</v>
      </c>
      <c r="H352">
        <v>2.6</v>
      </c>
      <c r="I352">
        <v>7</v>
      </c>
    </row>
    <row r="353" spans="1:9" x14ac:dyDescent="0.25">
      <c r="A353" t="s">
        <v>360</v>
      </c>
      <c r="B353" t="s">
        <v>517</v>
      </c>
      <c r="C353" t="s">
        <v>522</v>
      </c>
      <c r="D353" t="s">
        <v>525</v>
      </c>
      <c r="E353">
        <v>2023</v>
      </c>
      <c r="F353">
        <v>9.1199999999999992</v>
      </c>
      <c r="G353">
        <v>296</v>
      </c>
      <c r="H353">
        <v>4.5</v>
      </c>
      <c r="I353">
        <v>10</v>
      </c>
    </row>
    <row r="354" spans="1:9" x14ac:dyDescent="0.25">
      <c r="A354" t="s">
        <v>361</v>
      </c>
      <c r="B354" t="s">
        <v>510</v>
      </c>
      <c r="C354" t="s">
        <v>520</v>
      </c>
      <c r="D354" t="s">
        <v>529</v>
      </c>
      <c r="E354">
        <v>2024</v>
      </c>
      <c r="F354">
        <v>2.46</v>
      </c>
      <c r="G354">
        <v>170</v>
      </c>
      <c r="H354">
        <v>3.3</v>
      </c>
      <c r="I354">
        <v>1</v>
      </c>
    </row>
    <row r="355" spans="1:9" x14ac:dyDescent="0.25">
      <c r="A355" t="s">
        <v>362</v>
      </c>
      <c r="B355" t="s">
        <v>511</v>
      </c>
      <c r="C355" t="s">
        <v>521</v>
      </c>
      <c r="D355" t="s">
        <v>529</v>
      </c>
      <c r="E355">
        <v>2025</v>
      </c>
      <c r="F355">
        <v>1.59</v>
      </c>
      <c r="G355">
        <v>536</v>
      </c>
      <c r="H355">
        <v>3.7</v>
      </c>
      <c r="I355">
        <v>4</v>
      </c>
    </row>
    <row r="356" spans="1:9" x14ac:dyDescent="0.25">
      <c r="A356" t="s">
        <v>363</v>
      </c>
      <c r="B356" t="s">
        <v>517</v>
      </c>
      <c r="C356" t="s">
        <v>522</v>
      </c>
      <c r="D356" t="s">
        <v>529</v>
      </c>
      <c r="E356">
        <v>2024</v>
      </c>
      <c r="F356">
        <v>9.41</v>
      </c>
      <c r="G356">
        <v>482</v>
      </c>
      <c r="H356">
        <v>3.3</v>
      </c>
      <c r="I356">
        <v>5</v>
      </c>
    </row>
    <row r="357" spans="1:9" x14ac:dyDescent="0.25">
      <c r="A357" t="s">
        <v>364</v>
      </c>
      <c r="B357" t="s">
        <v>512</v>
      </c>
      <c r="C357" t="s">
        <v>520</v>
      </c>
      <c r="D357" t="s">
        <v>526</v>
      </c>
      <c r="E357">
        <v>2025</v>
      </c>
      <c r="F357">
        <v>5.54</v>
      </c>
      <c r="G357">
        <v>157</v>
      </c>
      <c r="H357">
        <v>3.2</v>
      </c>
      <c r="I357">
        <v>9</v>
      </c>
    </row>
    <row r="358" spans="1:9" x14ac:dyDescent="0.25">
      <c r="A358" t="s">
        <v>365</v>
      </c>
      <c r="B358" t="s">
        <v>515</v>
      </c>
      <c r="C358" t="s">
        <v>520</v>
      </c>
      <c r="D358" t="s">
        <v>526</v>
      </c>
      <c r="E358">
        <v>2023</v>
      </c>
      <c r="F358">
        <v>6.62</v>
      </c>
      <c r="G358">
        <v>240</v>
      </c>
      <c r="H358">
        <v>4.4000000000000004</v>
      </c>
      <c r="I358">
        <v>6</v>
      </c>
    </row>
    <row r="359" spans="1:9" x14ac:dyDescent="0.25">
      <c r="A359" t="s">
        <v>366</v>
      </c>
      <c r="B359" t="s">
        <v>511</v>
      </c>
      <c r="C359" t="s">
        <v>521</v>
      </c>
      <c r="D359" t="s">
        <v>527</v>
      </c>
      <c r="E359">
        <v>2024</v>
      </c>
      <c r="F359">
        <v>3.07</v>
      </c>
      <c r="G359">
        <v>438</v>
      </c>
      <c r="H359">
        <v>4.7</v>
      </c>
      <c r="I359">
        <v>3</v>
      </c>
    </row>
    <row r="360" spans="1:9" x14ac:dyDescent="0.25">
      <c r="A360" t="s">
        <v>367</v>
      </c>
      <c r="B360" t="s">
        <v>513</v>
      </c>
      <c r="C360" t="s">
        <v>519</v>
      </c>
      <c r="D360" t="s">
        <v>532</v>
      </c>
      <c r="E360">
        <v>2025</v>
      </c>
      <c r="F360">
        <v>11.48</v>
      </c>
      <c r="G360">
        <v>293</v>
      </c>
      <c r="H360">
        <v>3.2</v>
      </c>
      <c r="I360">
        <v>4</v>
      </c>
    </row>
    <row r="361" spans="1:9" x14ac:dyDescent="0.25">
      <c r="A361" t="s">
        <v>368</v>
      </c>
      <c r="B361" t="s">
        <v>516</v>
      </c>
      <c r="C361" t="s">
        <v>521</v>
      </c>
      <c r="D361" t="s">
        <v>529</v>
      </c>
      <c r="E361">
        <v>2024</v>
      </c>
      <c r="F361">
        <v>3.85</v>
      </c>
      <c r="G361">
        <v>275</v>
      </c>
      <c r="H361">
        <v>3.7</v>
      </c>
      <c r="I361">
        <v>6</v>
      </c>
    </row>
    <row r="362" spans="1:9" x14ac:dyDescent="0.25">
      <c r="A362" t="s">
        <v>369</v>
      </c>
      <c r="B362" t="s">
        <v>514</v>
      </c>
      <c r="C362" t="s">
        <v>521</v>
      </c>
      <c r="D362" t="s">
        <v>526</v>
      </c>
      <c r="E362">
        <v>2025</v>
      </c>
      <c r="F362">
        <v>4.21</v>
      </c>
      <c r="G362">
        <v>401</v>
      </c>
      <c r="H362">
        <v>3.7</v>
      </c>
      <c r="I362">
        <v>6</v>
      </c>
    </row>
    <row r="363" spans="1:9" x14ac:dyDescent="0.25">
      <c r="A363" t="s">
        <v>370</v>
      </c>
      <c r="B363" t="s">
        <v>518</v>
      </c>
      <c r="C363" t="s">
        <v>519</v>
      </c>
      <c r="D363" t="s">
        <v>531</v>
      </c>
      <c r="E363">
        <v>2025</v>
      </c>
      <c r="F363">
        <v>8.3699999999999992</v>
      </c>
      <c r="G363">
        <v>174</v>
      </c>
      <c r="H363">
        <v>4.8</v>
      </c>
      <c r="I363">
        <v>9</v>
      </c>
    </row>
    <row r="364" spans="1:9" x14ac:dyDescent="0.25">
      <c r="A364" t="s">
        <v>371</v>
      </c>
      <c r="B364" t="s">
        <v>513</v>
      </c>
      <c r="C364" t="s">
        <v>519</v>
      </c>
      <c r="D364" t="s">
        <v>530</v>
      </c>
      <c r="E364">
        <v>2023</v>
      </c>
      <c r="F364">
        <v>10.71</v>
      </c>
      <c r="G364">
        <v>118</v>
      </c>
      <c r="H364">
        <v>4.9000000000000004</v>
      </c>
      <c r="I364">
        <v>1</v>
      </c>
    </row>
    <row r="365" spans="1:9" x14ac:dyDescent="0.25">
      <c r="A365" t="s">
        <v>372</v>
      </c>
      <c r="B365" t="s">
        <v>513</v>
      </c>
      <c r="C365" t="s">
        <v>519</v>
      </c>
      <c r="D365" t="s">
        <v>528</v>
      </c>
      <c r="E365">
        <v>2023</v>
      </c>
      <c r="F365">
        <v>10.74</v>
      </c>
      <c r="G365">
        <v>198</v>
      </c>
      <c r="H365">
        <v>2.7</v>
      </c>
      <c r="I365">
        <v>3</v>
      </c>
    </row>
    <row r="366" spans="1:9" x14ac:dyDescent="0.25">
      <c r="A366" t="s">
        <v>373</v>
      </c>
      <c r="B366" t="s">
        <v>513</v>
      </c>
      <c r="C366" t="s">
        <v>519</v>
      </c>
      <c r="D366" t="s">
        <v>529</v>
      </c>
      <c r="E366">
        <v>2025</v>
      </c>
      <c r="F366">
        <v>7.65</v>
      </c>
      <c r="G366">
        <v>110</v>
      </c>
      <c r="H366">
        <v>4</v>
      </c>
      <c r="I366">
        <v>10</v>
      </c>
    </row>
    <row r="367" spans="1:9" x14ac:dyDescent="0.25">
      <c r="A367" t="s">
        <v>374</v>
      </c>
      <c r="B367" t="s">
        <v>515</v>
      </c>
      <c r="C367" t="s">
        <v>520</v>
      </c>
      <c r="D367" t="s">
        <v>526</v>
      </c>
      <c r="E367">
        <v>2023</v>
      </c>
      <c r="F367">
        <v>1.05</v>
      </c>
      <c r="G367">
        <v>282</v>
      </c>
      <c r="H367">
        <v>3.5</v>
      </c>
      <c r="I367">
        <v>1</v>
      </c>
    </row>
    <row r="368" spans="1:9" x14ac:dyDescent="0.25">
      <c r="A368" t="s">
        <v>375</v>
      </c>
      <c r="B368" t="s">
        <v>510</v>
      </c>
      <c r="C368" t="s">
        <v>520</v>
      </c>
      <c r="D368" t="s">
        <v>532</v>
      </c>
      <c r="E368">
        <v>2025</v>
      </c>
      <c r="F368">
        <v>7.84</v>
      </c>
      <c r="G368">
        <v>8</v>
      </c>
      <c r="H368">
        <v>3.8</v>
      </c>
      <c r="I368">
        <v>7</v>
      </c>
    </row>
    <row r="369" spans="1:9" x14ac:dyDescent="0.25">
      <c r="A369" t="s">
        <v>376</v>
      </c>
      <c r="B369" t="s">
        <v>518</v>
      </c>
      <c r="C369" t="s">
        <v>519</v>
      </c>
      <c r="D369" t="s">
        <v>524</v>
      </c>
      <c r="E369">
        <v>2023</v>
      </c>
      <c r="F369">
        <v>8.1999999999999993</v>
      </c>
      <c r="G369">
        <v>203</v>
      </c>
      <c r="H369">
        <v>3</v>
      </c>
      <c r="I369">
        <v>9</v>
      </c>
    </row>
    <row r="370" spans="1:9" x14ac:dyDescent="0.25">
      <c r="A370" t="s">
        <v>377</v>
      </c>
      <c r="B370" t="s">
        <v>514</v>
      </c>
      <c r="C370" t="s">
        <v>521</v>
      </c>
      <c r="D370" t="s">
        <v>527</v>
      </c>
      <c r="E370">
        <v>2024</v>
      </c>
      <c r="F370">
        <v>4.97</v>
      </c>
      <c r="G370">
        <v>190</v>
      </c>
      <c r="H370">
        <v>3.4</v>
      </c>
      <c r="I370">
        <v>7</v>
      </c>
    </row>
    <row r="371" spans="1:9" x14ac:dyDescent="0.25">
      <c r="A371" t="s">
        <v>378</v>
      </c>
      <c r="B371" t="s">
        <v>515</v>
      </c>
      <c r="C371" t="s">
        <v>520</v>
      </c>
      <c r="D371" t="s">
        <v>525</v>
      </c>
      <c r="E371">
        <v>2023</v>
      </c>
      <c r="F371">
        <v>7.93</v>
      </c>
      <c r="G371">
        <v>115</v>
      </c>
      <c r="H371">
        <v>3.2</v>
      </c>
      <c r="I371">
        <v>2</v>
      </c>
    </row>
    <row r="372" spans="1:9" x14ac:dyDescent="0.25">
      <c r="A372" t="s">
        <v>379</v>
      </c>
      <c r="B372" t="s">
        <v>513</v>
      </c>
      <c r="C372" t="s">
        <v>519</v>
      </c>
      <c r="D372" t="s">
        <v>524</v>
      </c>
      <c r="E372">
        <v>2024</v>
      </c>
      <c r="F372">
        <v>7.03</v>
      </c>
      <c r="G372">
        <v>323</v>
      </c>
      <c r="H372">
        <v>2.6</v>
      </c>
      <c r="I372">
        <v>1</v>
      </c>
    </row>
    <row r="373" spans="1:9" x14ac:dyDescent="0.25">
      <c r="A373" t="s">
        <v>380</v>
      </c>
      <c r="B373" t="s">
        <v>518</v>
      </c>
      <c r="C373" t="s">
        <v>519</v>
      </c>
      <c r="D373" t="s">
        <v>524</v>
      </c>
      <c r="E373">
        <v>2024</v>
      </c>
      <c r="F373">
        <v>10.76</v>
      </c>
      <c r="G373">
        <v>249</v>
      </c>
      <c r="H373">
        <v>3.9</v>
      </c>
      <c r="I373">
        <v>2</v>
      </c>
    </row>
    <row r="374" spans="1:9" x14ac:dyDescent="0.25">
      <c r="A374" t="s">
        <v>381</v>
      </c>
      <c r="B374" t="s">
        <v>510</v>
      </c>
      <c r="C374" t="s">
        <v>520</v>
      </c>
      <c r="D374" t="s">
        <v>523</v>
      </c>
      <c r="E374">
        <v>2023</v>
      </c>
      <c r="F374">
        <v>2.48</v>
      </c>
      <c r="G374">
        <v>290</v>
      </c>
      <c r="H374">
        <v>3.7</v>
      </c>
      <c r="I374">
        <v>1</v>
      </c>
    </row>
    <row r="375" spans="1:9" x14ac:dyDescent="0.25">
      <c r="A375" t="s">
        <v>382</v>
      </c>
      <c r="B375" t="s">
        <v>509</v>
      </c>
      <c r="C375" t="s">
        <v>519</v>
      </c>
      <c r="D375" t="s">
        <v>532</v>
      </c>
      <c r="E375">
        <v>2025</v>
      </c>
      <c r="F375">
        <v>8.51</v>
      </c>
      <c r="G375">
        <v>96</v>
      </c>
      <c r="H375">
        <v>2.9</v>
      </c>
      <c r="I375">
        <v>6</v>
      </c>
    </row>
    <row r="376" spans="1:9" x14ac:dyDescent="0.25">
      <c r="A376" t="s">
        <v>383</v>
      </c>
      <c r="B376" t="s">
        <v>513</v>
      </c>
      <c r="C376" t="s">
        <v>519</v>
      </c>
      <c r="D376" t="s">
        <v>529</v>
      </c>
      <c r="E376">
        <v>2025</v>
      </c>
      <c r="F376">
        <v>5.15</v>
      </c>
      <c r="G376">
        <v>283</v>
      </c>
      <c r="H376">
        <v>4.8</v>
      </c>
      <c r="I376">
        <v>5</v>
      </c>
    </row>
    <row r="377" spans="1:9" x14ac:dyDescent="0.25">
      <c r="A377" t="s">
        <v>384</v>
      </c>
      <c r="B377" t="s">
        <v>518</v>
      </c>
      <c r="C377" t="s">
        <v>519</v>
      </c>
      <c r="D377" t="s">
        <v>525</v>
      </c>
      <c r="E377">
        <v>2023</v>
      </c>
      <c r="F377">
        <v>8.5299999999999994</v>
      </c>
      <c r="G377">
        <v>279</v>
      </c>
      <c r="H377">
        <v>4.2</v>
      </c>
      <c r="I377">
        <v>9</v>
      </c>
    </row>
    <row r="378" spans="1:9" x14ac:dyDescent="0.25">
      <c r="A378" t="s">
        <v>385</v>
      </c>
      <c r="B378" t="s">
        <v>516</v>
      </c>
      <c r="C378" t="s">
        <v>521</v>
      </c>
      <c r="D378" t="s">
        <v>528</v>
      </c>
      <c r="E378">
        <v>2025</v>
      </c>
      <c r="F378">
        <v>1.7</v>
      </c>
      <c r="G378">
        <v>502</v>
      </c>
      <c r="H378">
        <v>4.3</v>
      </c>
      <c r="I378">
        <v>9</v>
      </c>
    </row>
    <row r="379" spans="1:9" x14ac:dyDescent="0.25">
      <c r="A379" t="s">
        <v>386</v>
      </c>
      <c r="B379" t="s">
        <v>516</v>
      </c>
      <c r="C379" t="s">
        <v>521</v>
      </c>
      <c r="D379" t="s">
        <v>523</v>
      </c>
      <c r="E379">
        <v>2023</v>
      </c>
      <c r="F379">
        <v>3.19</v>
      </c>
      <c r="G379">
        <v>579</v>
      </c>
      <c r="H379">
        <v>2.7</v>
      </c>
      <c r="I379">
        <v>10</v>
      </c>
    </row>
    <row r="380" spans="1:9" x14ac:dyDescent="0.25">
      <c r="A380" t="s">
        <v>387</v>
      </c>
      <c r="B380" t="s">
        <v>517</v>
      </c>
      <c r="C380" t="s">
        <v>522</v>
      </c>
      <c r="D380" t="s">
        <v>525</v>
      </c>
      <c r="E380">
        <v>2024</v>
      </c>
      <c r="F380">
        <v>9.7799999999999994</v>
      </c>
      <c r="G380">
        <v>367</v>
      </c>
      <c r="H380">
        <v>2.6</v>
      </c>
      <c r="I380">
        <v>5</v>
      </c>
    </row>
    <row r="381" spans="1:9" x14ac:dyDescent="0.25">
      <c r="A381" t="s">
        <v>388</v>
      </c>
      <c r="B381" t="s">
        <v>515</v>
      </c>
      <c r="C381" t="s">
        <v>520</v>
      </c>
      <c r="D381" t="s">
        <v>526</v>
      </c>
      <c r="E381">
        <v>2023</v>
      </c>
      <c r="F381">
        <v>3.49</v>
      </c>
      <c r="G381">
        <v>192</v>
      </c>
      <c r="H381">
        <v>3.6</v>
      </c>
      <c r="I381">
        <v>10</v>
      </c>
    </row>
    <row r="382" spans="1:9" x14ac:dyDescent="0.25">
      <c r="A382" t="s">
        <v>389</v>
      </c>
      <c r="B382" t="s">
        <v>512</v>
      </c>
      <c r="C382" t="s">
        <v>520</v>
      </c>
      <c r="D382" t="s">
        <v>524</v>
      </c>
      <c r="E382">
        <v>2025</v>
      </c>
      <c r="F382">
        <v>3.07</v>
      </c>
      <c r="G382">
        <v>126</v>
      </c>
      <c r="H382">
        <v>4.3</v>
      </c>
      <c r="I382">
        <v>2</v>
      </c>
    </row>
    <row r="383" spans="1:9" x14ac:dyDescent="0.25">
      <c r="A383" t="s">
        <v>390</v>
      </c>
      <c r="B383" t="s">
        <v>514</v>
      </c>
      <c r="C383" t="s">
        <v>521</v>
      </c>
      <c r="D383" t="s">
        <v>531</v>
      </c>
      <c r="E383">
        <v>2024</v>
      </c>
      <c r="F383">
        <v>4.5599999999999996</v>
      </c>
      <c r="G383">
        <v>474</v>
      </c>
      <c r="H383">
        <v>2.9</v>
      </c>
      <c r="I383">
        <v>7</v>
      </c>
    </row>
    <row r="384" spans="1:9" x14ac:dyDescent="0.25">
      <c r="A384" t="s">
        <v>391</v>
      </c>
      <c r="B384" t="s">
        <v>516</v>
      </c>
      <c r="C384" t="s">
        <v>521</v>
      </c>
      <c r="D384" t="s">
        <v>527</v>
      </c>
      <c r="E384">
        <v>2023</v>
      </c>
      <c r="F384">
        <v>1.46</v>
      </c>
      <c r="G384">
        <v>307</v>
      </c>
      <c r="H384">
        <v>3.6</v>
      </c>
      <c r="I384">
        <v>5</v>
      </c>
    </row>
    <row r="385" spans="1:9" x14ac:dyDescent="0.25">
      <c r="A385" t="s">
        <v>392</v>
      </c>
      <c r="B385" t="s">
        <v>509</v>
      </c>
      <c r="C385" t="s">
        <v>519</v>
      </c>
      <c r="D385" t="s">
        <v>531</v>
      </c>
      <c r="E385">
        <v>2023</v>
      </c>
      <c r="F385">
        <v>5.5</v>
      </c>
      <c r="G385">
        <v>309</v>
      </c>
      <c r="H385">
        <v>3.9</v>
      </c>
      <c r="I385">
        <v>9</v>
      </c>
    </row>
    <row r="386" spans="1:9" x14ac:dyDescent="0.25">
      <c r="A386" t="s">
        <v>393</v>
      </c>
      <c r="B386" t="s">
        <v>512</v>
      </c>
      <c r="C386" t="s">
        <v>520</v>
      </c>
      <c r="D386" t="s">
        <v>524</v>
      </c>
      <c r="E386">
        <v>2023</v>
      </c>
      <c r="F386">
        <v>1.63</v>
      </c>
      <c r="G386">
        <v>283</v>
      </c>
      <c r="H386">
        <v>2.7</v>
      </c>
      <c r="I386">
        <v>10</v>
      </c>
    </row>
    <row r="387" spans="1:9" x14ac:dyDescent="0.25">
      <c r="A387" t="s">
        <v>394</v>
      </c>
      <c r="B387" t="s">
        <v>516</v>
      </c>
      <c r="C387" t="s">
        <v>521</v>
      </c>
      <c r="D387" t="s">
        <v>528</v>
      </c>
      <c r="E387">
        <v>2023</v>
      </c>
      <c r="F387">
        <v>2.46</v>
      </c>
      <c r="G387">
        <v>348</v>
      </c>
      <c r="H387">
        <v>4.4000000000000004</v>
      </c>
      <c r="I387">
        <v>9</v>
      </c>
    </row>
    <row r="388" spans="1:9" x14ac:dyDescent="0.25">
      <c r="A388" t="s">
        <v>395</v>
      </c>
      <c r="B388" t="s">
        <v>511</v>
      </c>
      <c r="C388" t="s">
        <v>521</v>
      </c>
      <c r="D388" t="s">
        <v>525</v>
      </c>
      <c r="E388">
        <v>2025</v>
      </c>
      <c r="F388">
        <v>1.85</v>
      </c>
      <c r="G388">
        <v>344</v>
      </c>
      <c r="H388">
        <v>2.9</v>
      </c>
      <c r="I388">
        <v>5</v>
      </c>
    </row>
    <row r="389" spans="1:9" x14ac:dyDescent="0.25">
      <c r="A389" t="s">
        <v>396</v>
      </c>
      <c r="B389" t="s">
        <v>514</v>
      </c>
      <c r="C389" t="s">
        <v>521</v>
      </c>
      <c r="D389" t="s">
        <v>532</v>
      </c>
      <c r="E389">
        <v>2024</v>
      </c>
      <c r="F389">
        <v>1.73</v>
      </c>
      <c r="G389">
        <v>235</v>
      </c>
      <c r="H389">
        <v>3.6</v>
      </c>
      <c r="I389">
        <v>7</v>
      </c>
    </row>
    <row r="390" spans="1:9" x14ac:dyDescent="0.25">
      <c r="A390" t="s">
        <v>397</v>
      </c>
      <c r="B390" t="s">
        <v>514</v>
      </c>
      <c r="C390" t="s">
        <v>521</v>
      </c>
      <c r="D390" t="s">
        <v>526</v>
      </c>
      <c r="E390">
        <v>2023</v>
      </c>
      <c r="F390">
        <v>2.81</v>
      </c>
      <c r="G390">
        <v>276</v>
      </c>
      <c r="H390">
        <v>4.3</v>
      </c>
      <c r="I390">
        <v>8</v>
      </c>
    </row>
    <row r="391" spans="1:9" x14ac:dyDescent="0.25">
      <c r="A391" t="s">
        <v>398</v>
      </c>
      <c r="B391" t="s">
        <v>517</v>
      </c>
      <c r="C391" t="s">
        <v>522</v>
      </c>
      <c r="D391" t="s">
        <v>525</v>
      </c>
      <c r="E391">
        <v>2023</v>
      </c>
      <c r="F391">
        <v>6.21</v>
      </c>
      <c r="G391">
        <v>269</v>
      </c>
      <c r="H391">
        <v>3.3</v>
      </c>
      <c r="I391">
        <v>7</v>
      </c>
    </row>
    <row r="392" spans="1:9" x14ac:dyDescent="0.25">
      <c r="A392" t="s">
        <v>399</v>
      </c>
      <c r="B392" t="s">
        <v>516</v>
      </c>
      <c r="C392" t="s">
        <v>521</v>
      </c>
      <c r="D392" t="s">
        <v>525</v>
      </c>
      <c r="E392">
        <v>2024</v>
      </c>
      <c r="F392">
        <v>5.0199999999999996</v>
      </c>
      <c r="G392">
        <v>318</v>
      </c>
      <c r="H392">
        <v>3.6</v>
      </c>
      <c r="I392">
        <v>7</v>
      </c>
    </row>
    <row r="393" spans="1:9" x14ac:dyDescent="0.25">
      <c r="A393" t="s">
        <v>400</v>
      </c>
      <c r="B393" t="s">
        <v>517</v>
      </c>
      <c r="C393" t="s">
        <v>522</v>
      </c>
      <c r="D393" t="s">
        <v>531</v>
      </c>
      <c r="E393">
        <v>2024</v>
      </c>
      <c r="F393">
        <v>5.24</v>
      </c>
      <c r="G393">
        <v>302</v>
      </c>
      <c r="H393">
        <v>3.7</v>
      </c>
      <c r="I393">
        <v>3</v>
      </c>
    </row>
    <row r="394" spans="1:9" x14ac:dyDescent="0.25">
      <c r="A394" t="s">
        <v>401</v>
      </c>
      <c r="B394" t="s">
        <v>512</v>
      </c>
      <c r="C394" t="s">
        <v>520</v>
      </c>
      <c r="D394" t="s">
        <v>527</v>
      </c>
      <c r="E394">
        <v>2024</v>
      </c>
      <c r="F394">
        <v>6.14</v>
      </c>
      <c r="G394">
        <v>324</v>
      </c>
      <c r="H394">
        <v>3.7</v>
      </c>
      <c r="I394">
        <v>10</v>
      </c>
    </row>
    <row r="395" spans="1:9" x14ac:dyDescent="0.25">
      <c r="A395" t="s">
        <v>402</v>
      </c>
      <c r="B395" t="s">
        <v>511</v>
      </c>
      <c r="C395" t="s">
        <v>521</v>
      </c>
      <c r="D395" t="s">
        <v>527</v>
      </c>
      <c r="E395">
        <v>2024</v>
      </c>
      <c r="F395">
        <v>2.4</v>
      </c>
      <c r="G395">
        <v>552</v>
      </c>
      <c r="H395">
        <v>3.5</v>
      </c>
      <c r="I395">
        <v>2</v>
      </c>
    </row>
    <row r="396" spans="1:9" x14ac:dyDescent="0.25">
      <c r="A396" t="s">
        <v>403</v>
      </c>
      <c r="B396" t="s">
        <v>517</v>
      </c>
      <c r="C396" t="s">
        <v>522</v>
      </c>
      <c r="D396" t="s">
        <v>529</v>
      </c>
      <c r="E396">
        <v>2025</v>
      </c>
      <c r="F396">
        <v>9.98</v>
      </c>
      <c r="G396">
        <v>292</v>
      </c>
      <c r="H396">
        <v>4.2</v>
      </c>
      <c r="I396">
        <v>9</v>
      </c>
    </row>
    <row r="397" spans="1:9" x14ac:dyDescent="0.25">
      <c r="A397" t="s">
        <v>404</v>
      </c>
      <c r="B397" t="s">
        <v>513</v>
      </c>
      <c r="C397" t="s">
        <v>519</v>
      </c>
      <c r="D397" t="s">
        <v>526</v>
      </c>
      <c r="E397">
        <v>2025</v>
      </c>
      <c r="F397">
        <v>5.68</v>
      </c>
      <c r="G397">
        <v>229</v>
      </c>
      <c r="H397">
        <v>4.5999999999999996</v>
      </c>
      <c r="I397">
        <v>2</v>
      </c>
    </row>
    <row r="398" spans="1:9" x14ac:dyDescent="0.25">
      <c r="A398" t="s">
        <v>405</v>
      </c>
      <c r="B398" t="s">
        <v>512</v>
      </c>
      <c r="C398" t="s">
        <v>520</v>
      </c>
      <c r="D398" t="s">
        <v>526</v>
      </c>
      <c r="E398">
        <v>2023</v>
      </c>
      <c r="F398">
        <v>5.43</v>
      </c>
      <c r="G398">
        <v>123</v>
      </c>
      <c r="H398">
        <v>3.1</v>
      </c>
      <c r="I398">
        <v>3</v>
      </c>
    </row>
    <row r="399" spans="1:9" x14ac:dyDescent="0.25">
      <c r="A399" t="s">
        <v>406</v>
      </c>
      <c r="B399" t="s">
        <v>512</v>
      </c>
      <c r="C399" t="s">
        <v>520</v>
      </c>
      <c r="D399" t="s">
        <v>528</v>
      </c>
      <c r="E399">
        <v>2023</v>
      </c>
      <c r="F399">
        <v>4.1399999999999997</v>
      </c>
      <c r="G399">
        <v>306</v>
      </c>
      <c r="H399">
        <v>3.7</v>
      </c>
      <c r="I399">
        <v>7</v>
      </c>
    </row>
    <row r="400" spans="1:9" x14ac:dyDescent="0.25">
      <c r="A400" t="s">
        <v>407</v>
      </c>
      <c r="B400" t="s">
        <v>510</v>
      </c>
      <c r="C400" t="s">
        <v>520</v>
      </c>
      <c r="D400" t="s">
        <v>530</v>
      </c>
      <c r="E400">
        <v>2025</v>
      </c>
      <c r="F400">
        <v>3.93</v>
      </c>
      <c r="G400">
        <v>18</v>
      </c>
      <c r="H400">
        <v>4.5</v>
      </c>
      <c r="I400">
        <v>6</v>
      </c>
    </row>
    <row r="401" spans="1:9" x14ac:dyDescent="0.25">
      <c r="A401" t="s">
        <v>408</v>
      </c>
      <c r="B401" t="s">
        <v>510</v>
      </c>
      <c r="C401" t="s">
        <v>520</v>
      </c>
      <c r="D401" t="s">
        <v>525</v>
      </c>
      <c r="E401">
        <v>2025</v>
      </c>
      <c r="F401">
        <v>7.4</v>
      </c>
      <c r="G401">
        <v>55</v>
      </c>
      <c r="H401">
        <v>4.4000000000000004</v>
      </c>
      <c r="I401">
        <v>6</v>
      </c>
    </row>
    <row r="402" spans="1:9" x14ac:dyDescent="0.25">
      <c r="A402" t="s">
        <v>409</v>
      </c>
      <c r="B402" t="s">
        <v>518</v>
      </c>
      <c r="C402" t="s">
        <v>519</v>
      </c>
      <c r="D402" t="s">
        <v>525</v>
      </c>
      <c r="E402">
        <v>2023</v>
      </c>
      <c r="F402">
        <v>8.51</v>
      </c>
      <c r="G402">
        <v>284</v>
      </c>
      <c r="H402">
        <v>4.9000000000000004</v>
      </c>
      <c r="I402">
        <v>6</v>
      </c>
    </row>
    <row r="403" spans="1:9" x14ac:dyDescent="0.25">
      <c r="A403" t="s">
        <v>410</v>
      </c>
      <c r="B403" t="s">
        <v>512</v>
      </c>
      <c r="C403" t="s">
        <v>520</v>
      </c>
      <c r="D403" t="s">
        <v>524</v>
      </c>
      <c r="E403">
        <v>2023</v>
      </c>
      <c r="F403">
        <v>1.69</v>
      </c>
      <c r="G403">
        <v>113</v>
      </c>
      <c r="H403">
        <v>3.8</v>
      </c>
      <c r="I403">
        <v>9</v>
      </c>
    </row>
    <row r="404" spans="1:9" x14ac:dyDescent="0.25">
      <c r="A404" t="s">
        <v>411</v>
      </c>
      <c r="B404" t="s">
        <v>510</v>
      </c>
      <c r="C404" t="s">
        <v>520</v>
      </c>
      <c r="D404" t="s">
        <v>525</v>
      </c>
      <c r="E404">
        <v>2025</v>
      </c>
      <c r="F404">
        <v>5.03</v>
      </c>
      <c r="G404">
        <v>228</v>
      </c>
      <c r="H404">
        <v>3.4</v>
      </c>
      <c r="I404">
        <v>8</v>
      </c>
    </row>
    <row r="405" spans="1:9" x14ac:dyDescent="0.25">
      <c r="A405" t="s">
        <v>412</v>
      </c>
      <c r="B405" t="s">
        <v>517</v>
      </c>
      <c r="C405" t="s">
        <v>522</v>
      </c>
      <c r="D405" t="s">
        <v>530</v>
      </c>
      <c r="E405">
        <v>2023</v>
      </c>
      <c r="F405">
        <v>5.41</v>
      </c>
      <c r="G405">
        <v>212</v>
      </c>
      <c r="H405">
        <v>3.7</v>
      </c>
      <c r="I405">
        <v>5</v>
      </c>
    </row>
    <row r="406" spans="1:9" x14ac:dyDescent="0.25">
      <c r="A406" t="s">
        <v>413</v>
      </c>
      <c r="B406" t="s">
        <v>512</v>
      </c>
      <c r="C406" t="s">
        <v>520</v>
      </c>
      <c r="D406" t="s">
        <v>524</v>
      </c>
      <c r="E406">
        <v>2023</v>
      </c>
      <c r="F406">
        <v>6.82</v>
      </c>
      <c r="G406">
        <v>72</v>
      </c>
      <c r="H406">
        <v>3.4</v>
      </c>
      <c r="I406">
        <v>6</v>
      </c>
    </row>
    <row r="407" spans="1:9" x14ac:dyDescent="0.25">
      <c r="A407" t="s">
        <v>414</v>
      </c>
      <c r="B407" t="s">
        <v>515</v>
      </c>
      <c r="C407" t="s">
        <v>520</v>
      </c>
      <c r="D407" t="s">
        <v>529</v>
      </c>
      <c r="E407">
        <v>2025</v>
      </c>
      <c r="F407">
        <v>4.38</v>
      </c>
      <c r="G407">
        <v>243</v>
      </c>
      <c r="H407">
        <v>2.7</v>
      </c>
      <c r="I407">
        <v>8</v>
      </c>
    </row>
    <row r="408" spans="1:9" x14ac:dyDescent="0.25">
      <c r="A408" t="s">
        <v>415</v>
      </c>
      <c r="B408" t="s">
        <v>516</v>
      </c>
      <c r="C408" t="s">
        <v>521</v>
      </c>
      <c r="D408" t="s">
        <v>524</v>
      </c>
      <c r="E408">
        <v>2024</v>
      </c>
      <c r="F408">
        <v>1.22</v>
      </c>
      <c r="G408">
        <v>513</v>
      </c>
      <c r="H408">
        <v>2.8</v>
      </c>
      <c r="I408">
        <v>6</v>
      </c>
    </row>
    <row r="409" spans="1:9" x14ac:dyDescent="0.25">
      <c r="A409" t="s">
        <v>416</v>
      </c>
      <c r="B409" t="s">
        <v>509</v>
      </c>
      <c r="C409" t="s">
        <v>519</v>
      </c>
      <c r="D409" t="s">
        <v>531</v>
      </c>
      <c r="E409">
        <v>2025</v>
      </c>
      <c r="F409">
        <v>5.95</v>
      </c>
      <c r="G409">
        <v>169</v>
      </c>
      <c r="H409">
        <v>3.9</v>
      </c>
      <c r="I409">
        <v>6</v>
      </c>
    </row>
    <row r="410" spans="1:9" x14ac:dyDescent="0.25">
      <c r="A410" t="s">
        <v>417</v>
      </c>
      <c r="B410" t="s">
        <v>510</v>
      </c>
      <c r="C410" t="s">
        <v>520</v>
      </c>
      <c r="D410" t="s">
        <v>528</v>
      </c>
      <c r="E410">
        <v>2024</v>
      </c>
      <c r="F410">
        <v>2.62</v>
      </c>
      <c r="G410">
        <v>207</v>
      </c>
      <c r="H410">
        <v>4.0999999999999996</v>
      </c>
      <c r="I410">
        <v>3</v>
      </c>
    </row>
    <row r="411" spans="1:9" x14ac:dyDescent="0.25">
      <c r="A411" t="s">
        <v>418</v>
      </c>
      <c r="B411" t="s">
        <v>512</v>
      </c>
      <c r="C411" t="s">
        <v>520</v>
      </c>
      <c r="D411" t="s">
        <v>528</v>
      </c>
      <c r="E411">
        <v>2023</v>
      </c>
      <c r="F411">
        <v>6.16</v>
      </c>
      <c r="G411">
        <v>101</v>
      </c>
      <c r="H411">
        <v>3.6</v>
      </c>
      <c r="I411">
        <v>7</v>
      </c>
    </row>
    <row r="412" spans="1:9" x14ac:dyDescent="0.25">
      <c r="A412" t="s">
        <v>419</v>
      </c>
      <c r="B412" t="s">
        <v>512</v>
      </c>
      <c r="C412" t="s">
        <v>520</v>
      </c>
      <c r="D412" t="s">
        <v>523</v>
      </c>
      <c r="E412">
        <v>2025</v>
      </c>
      <c r="F412">
        <v>2.5</v>
      </c>
      <c r="G412">
        <v>142</v>
      </c>
      <c r="H412">
        <v>4.4000000000000004</v>
      </c>
      <c r="I412">
        <v>2</v>
      </c>
    </row>
    <row r="413" spans="1:9" x14ac:dyDescent="0.25">
      <c r="A413" t="s">
        <v>420</v>
      </c>
      <c r="B413" t="s">
        <v>517</v>
      </c>
      <c r="C413" t="s">
        <v>522</v>
      </c>
      <c r="D413" t="s">
        <v>524</v>
      </c>
      <c r="E413">
        <v>2025</v>
      </c>
      <c r="F413">
        <v>4.3099999999999996</v>
      </c>
      <c r="G413">
        <v>366</v>
      </c>
      <c r="H413">
        <v>3</v>
      </c>
      <c r="I413">
        <v>2</v>
      </c>
    </row>
    <row r="414" spans="1:9" x14ac:dyDescent="0.25">
      <c r="A414" t="s">
        <v>421</v>
      </c>
      <c r="B414" t="s">
        <v>514</v>
      </c>
      <c r="C414" t="s">
        <v>521</v>
      </c>
      <c r="D414" t="s">
        <v>526</v>
      </c>
      <c r="E414">
        <v>2025</v>
      </c>
      <c r="F414">
        <v>5.83</v>
      </c>
      <c r="G414">
        <v>310</v>
      </c>
      <c r="H414">
        <v>4</v>
      </c>
      <c r="I414">
        <v>10</v>
      </c>
    </row>
    <row r="415" spans="1:9" x14ac:dyDescent="0.25">
      <c r="A415" t="s">
        <v>422</v>
      </c>
      <c r="B415" t="s">
        <v>512</v>
      </c>
      <c r="C415" t="s">
        <v>520</v>
      </c>
      <c r="D415" t="s">
        <v>525</v>
      </c>
      <c r="E415">
        <v>2023</v>
      </c>
      <c r="F415">
        <v>3.44</v>
      </c>
      <c r="G415">
        <v>234</v>
      </c>
      <c r="H415">
        <v>4</v>
      </c>
      <c r="I415">
        <v>5</v>
      </c>
    </row>
    <row r="416" spans="1:9" x14ac:dyDescent="0.25">
      <c r="A416" t="s">
        <v>423</v>
      </c>
      <c r="B416" t="s">
        <v>517</v>
      </c>
      <c r="C416" t="s">
        <v>522</v>
      </c>
      <c r="D416" t="s">
        <v>525</v>
      </c>
      <c r="E416">
        <v>2023</v>
      </c>
      <c r="F416">
        <v>7.7</v>
      </c>
      <c r="G416">
        <v>360</v>
      </c>
      <c r="H416">
        <v>2.8</v>
      </c>
      <c r="I416">
        <v>5</v>
      </c>
    </row>
    <row r="417" spans="1:9" x14ac:dyDescent="0.25">
      <c r="A417" t="s">
        <v>424</v>
      </c>
      <c r="B417" t="s">
        <v>509</v>
      </c>
      <c r="C417" t="s">
        <v>519</v>
      </c>
      <c r="D417" t="s">
        <v>531</v>
      </c>
      <c r="E417">
        <v>2024</v>
      </c>
      <c r="F417">
        <v>9.5500000000000007</v>
      </c>
      <c r="G417">
        <v>341</v>
      </c>
      <c r="H417">
        <v>3.5</v>
      </c>
      <c r="I417">
        <v>10</v>
      </c>
    </row>
    <row r="418" spans="1:9" x14ac:dyDescent="0.25">
      <c r="A418" t="s">
        <v>425</v>
      </c>
      <c r="B418" t="s">
        <v>518</v>
      </c>
      <c r="C418" t="s">
        <v>519</v>
      </c>
      <c r="D418" t="s">
        <v>525</v>
      </c>
      <c r="E418">
        <v>2024</v>
      </c>
      <c r="F418">
        <v>7.38</v>
      </c>
      <c r="G418">
        <v>329</v>
      </c>
      <c r="H418">
        <v>4.0999999999999996</v>
      </c>
      <c r="I418">
        <v>3</v>
      </c>
    </row>
    <row r="419" spans="1:9" x14ac:dyDescent="0.25">
      <c r="A419" t="s">
        <v>426</v>
      </c>
      <c r="B419" t="s">
        <v>510</v>
      </c>
      <c r="C419" t="s">
        <v>520</v>
      </c>
      <c r="D419" t="s">
        <v>531</v>
      </c>
      <c r="E419">
        <v>2024</v>
      </c>
      <c r="F419">
        <v>3.02</v>
      </c>
      <c r="G419">
        <v>95</v>
      </c>
      <c r="H419">
        <v>3.3</v>
      </c>
      <c r="I419">
        <v>8</v>
      </c>
    </row>
    <row r="420" spans="1:9" x14ac:dyDescent="0.25">
      <c r="A420" t="s">
        <v>427</v>
      </c>
      <c r="B420" t="s">
        <v>517</v>
      </c>
      <c r="C420" t="s">
        <v>522</v>
      </c>
      <c r="D420" t="s">
        <v>523</v>
      </c>
      <c r="E420">
        <v>2024</v>
      </c>
      <c r="F420">
        <v>9.66</v>
      </c>
      <c r="G420">
        <v>448</v>
      </c>
      <c r="H420">
        <v>2.8</v>
      </c>
      <c r="I420">
        <v>7</v>
      </c>
    </row>
    <row r="421" spans="1:9" x14ac:dyDescent="0.25">
      <c r="A421" t="s">
        <v>428</v>
      </c>
      <c r="B421" t="s">
        <v>510</v>
      </c>
      <c r="C421" t="s">
        <v>520</v>
      </c>
      <c r="D421" t="s">
        <v>530</v>
      </c>
      <c r="E421">
        <v>2025</v>
      </c>
      <c r="F421">
        <v>4.46</v>
      </c>
      <c r="G421">
        <v>350</v>
      </c>
      <c r="H421">
        <v>3.7</v>
      </c>
      <c r="I421">
        <v>8</v>
      </c>
    </row>
    <row r="422" spans="1:9" x14ac:dyDescent="0.25">
      <c r="A422" t="s">
        <v>429</v>
      </c>
      <c r="B422" t="s">
        <v>515</v>
      </c>
      <c r="C422" t="s">
        <v>520</v>
      </c>
      <c r="D422" t="s">
        <v>531</v>
      </c>
      <c r="E422">
        <v>2023</v>
      </c>
      <c r="F422">
        <v>4.96</v>
      </c>
      <c r="G422">
        <v>112</v>
      </c>
      <c r="H422">
        <v>3.2</v>
      </c>
      <c r="I422">
        <v>5</v>
      </c>
    </row>
    <row r="423" spans="1:9" x14ac:dyDescent="0.25">
      <c r="A423" t="s">
        <v>430</v>
      </c>
      <c r="B423" t="s">
        <v>511</v>
      </c>
      <c r="C423" t="s">
        <v>521</v>
      </c>
      <c r="D423" t="s">
        <v>530</v>
      </c>
      <c r="E423">
        <v>2024</v>
      </c>
      <c r="F423">
        <v>1.84</v>
      </c>
      <c r="G423">
        <v>384</v>
      </c>
      <c r="H423">
        <v>3.9</v>
      </c>
      <c r="I423">
        <v>8</v>
      </c>
    </row>
    <row r="424" spans="1:9" x14ac:dyDescent="0.25">
      <c r="A424" t="s">
        <v>431</v>
      </c>
      <c r="B424" t="s">
        <v>510</v>
      </c>
      <c r="C424" t="s">
        <v>520</v>
      </c>
      <c r="D424" t="s">
        <v>530</v>
      </c>
      <c r="E424">
        <v>2023</v>
      </c>
      <c r="F424">
        <v>5.01</v>
      </c>
      <c r="G424">
        <v>137</v>
      </c>
      <c r="H424">
        <v>4.4000000000000004</v>
      </c>
      <c r="I424">
        <v>6</v>
      </c>
    </row>
    <row r="425" spans="1:9" x14ac:dyDescent="0.25">
      <c r="A425" t="s">
        <v>432</v>
      </c>
      <c r="B425" t="s">
        <v>510</v>
      </c>
      <c r="C425" t="s">
        <v>520</v>
      </c>
      <c r="D425" t="s">
        <v>523</v>
      </c>
      <c r="E425">
        <v>2025</v>
      </c>
      <c r="F425">
        <v>4.09</v>
      </c>
      <c r="G425">
        <v>111</v>
      </c>
      <c r="H425">
        <v>5</v>
      </c>
      <c r="I425">
        <v>2</v>
      </c>
    </row>
    <row r="426" spans="1:9" x14ac:dyDescent="0.25">
      <c r="A426" t="s">
        <v>433</v>
      </c>
      <c r="B426" t="s">
        <v>511</v>
      </c>
      <c r="C426" t="s">
        <v>521</v>
      </c>
      <c r="D426" t="s">
        <v>532</v>
      </c>
      <c r="E426">
        <v>2023</v>
      </c>
      <c r="F426">
        <v>3.25</v>
      </c>
      <c r="G426">
        <v>328</v>
      </c>
      <c r="H426">
        <v>4.7</v>
      </c>
      <c r="I426">
        <v>2</v>
      </c>
    </row>
    <row r="427" spans="1:9" x14ac:dyDescent="0.25">
      <c r="A427" t="s">
        <v>434</v>
      </c>
      <c r="B427" t="s">
        <v>515</v>
      </c>
      <c r="C427" t="s">
        <v>520</v>
      </c>
      <c r="D427" t="s">
        <v>524</v>
      </c>
      <c r="E427">
        <v>2023</v>
      </c>
      <c r="F427">
        <v>2.4700000000000002</v>
      </c>
      <c r="G427">
        <v>301</v>
      </c>
      <c r="H427">
        <v>4.2</v>
      </c>
      <c r="I427">
        <v>10</v>
      </c>
    </row>
    <row r="428" spans="1:9" x14ac:dyDescent="0.25">
      <c r="A428" t="s">
        <v>435</v>
      </c>
      <c r="B428" t="s">
        <v>512</v>
      </c>
      <c r="C428" t="s">
        <v>520</v>
      </c>
      <c r="D428" t="s">
        <v>531</v>
      </c>
      <c r="E428">
        <v>2025</v>
      </c>
      <c r="F428">
        <v>1.97</v>
      </c>
      <c r="G428">
        <v>105</v>
      </c>
      <c r="H428">
        <v>4.5</v>
      </c>
      <c r="I428">
        <v>1</v>
      </c>
    </row>
    <row r="429" spans="1:9" x14ac:dyDescent="0.25">
      <c r="A429" t="s">
        <v>436</v>
      </c>
      <c r="B429" t="s">
        <v>517</v>
      </c>
      <c r="C429" t="s">
        <v>522</v>
      </c>
      <c r="D429" t="s">
        <v>527</v>
      </c>
      <c r="E429">
        <v>2025</v>
      </c>
      <c r="F429">
        <v>4.97</v>
      </c>
      <c r="G429">
        <v>475</v>
      </c>
      <c r="H429">
        <v>2.9</v>
      </c>
      <c r="I429">
        <v>5</v>
      </c>
    </row>
    <row r="430" spans="1:9" x14ac:dyDescent="0.25">
      <c r="A430" t="s">
        <v>437</v>
      </c>
      <c r="B430" t="s">
        <v>514</v>
      </c>
      <c r="C430" t="s">
        <v>521</v>
      </c>
      <c r="D430" t="s">
        <v>525</v>
      </c>
      <c r="E430">
        <v>2024</v>
      </c>
      <c r="F430">
        <v>5.76</v>
      </c>
      <c r="G430">
        <v>413</v>
      </c>
      <c r="H430">
        <v>5</v>
      </c>
      <c r="I430">
        <v>2</v>
      </c>
    </row>
    <row r="431" spans="1:9" x14ac:dyDescent="0.25">
      <c r="A431" t="s">
        <v>438</v>
      </c>
      <c r="B431" t="s">
        <v>518</v>
      </c>
      <c r="C431" t="s">
        <v>519</v>
      </c>
      <c r="D431" t="s">
        <v>528</v>
      </c>
      <c r="E431">
        <v>2023</v>
      </c>
      <c r="F431">
        <v>11.94</v>
      </c>
      <c r="G431">
        <v>144</v>
      </c>
      <c r="H431">
        <v>4.3</v>
      </c>
      <c r="I431">
        <v>3</v>
      </c>
    </row>
    <row r="432" spans="1:9" x14ac:dyDescent="0.25">
      <c r="A432" t="s">
        <v>439</v>
      </c>
      <c r="B432" t="s">
        <v>511</v>
      </c>
      <c r="C432" t="s">
        <v>521</v>
      </c>
      <c r="D432" t="s">
        <v>531</v>
      </c>
      <c r="E432">
        <v>2025</v>
      </c>
      <c r="F432">
        <v>2.61</v>
      </c>
      <c r="G432">
        <v>276</v>
      </c>
      <c r="H432">
        <v>4.4000000000000004</v>
      </c>
      <c r="I432">
        <v>7</v>
      </c>
    </row>
    <row r="433" spans="1:9" x14ac:dyDescent="0.25">
      <c r="A433" t="s">
        <v>440</v>
      </c>
      <c r="B433" t="s">
        <v>515</v>
      </c>
      <c r="C433" t="s">
        <v>520</v>
      </c>
      <c r="D433" t="s">
        <v>531</v>
      </c>
      <c r="E433">
        <v>2025</v>
      </c>
      <c r="F433">
        <v>5.43</v>
      </c>
      <c r="G433">
        <v>321</v>
      </c>
      <c r="H433">
        <v>3.5</v>
      </c>
      <c r="I433">
        <v>8</v>
      </c>
    </row>
    <row r="434" spans="1:9" x14ac:dyDescent="0.25">
      <c r="A434" t="s">
        <v>441</v>
      </c>
      <c r="B434" t="s">
        <v>509</v>
      </c>
      <c r="C434" t="s">
        <v>519</v>
      </c>
      <c r="D434" t="s">
        <v>524</v>
      </c>
      <c r="E434">
        <v>2024</v>
      </c>
      <c r="F434">
        <v>8.1199999999999992</v>
      </c>
      <c r="G434">
        <v>222</v>
      </c>
      <c r="H434">
        <v>4.2</v>
      </c>
      <c r="I434">
        <v>6</v>
      </c>
    </row>
    <row r="435" spans="1:9" x14ac:dyDescent="0.25">
      <c r="A435" t="s">
        <v>442</v>
      </c>
      <c r="B435" t="s">
        <v>515</v>
      </c>
      <c r="C435" t="s">
        <v>520</v>
      </c>
      <c r="D435" t="s">
        <v>526</v>
      </c>
      <c r="E435">
        <v>2024</v>
      </c>
      <c r="F435">
        <v>5.07</v>
      </c>
      <c r="G435">
        <v>47</v>
      </c>
      <c r="H435">
        <v>4.3</v>
      </c>
      <c r="I435">
        <v>8</v>
      </c>
    </row>
    <row r="436" spans="1:9" x14ac:dyDescent="0.25">
      <c r="A436" t="s">
        <v>443</v>
      </c>
      <c r="B436" t="s">
        <v>516</v>
      </c>
      <c r="C436" t="s">
        <v>521</v>
      </c>
      <c r="D436" t="s">
        <v>524</v>
      </c>
      <c r="E436">
        <v>2025</v>
      </c>
      <c r="F436">
        <v>2.99</v>
      </c>
      <c r="G436">
        <v>369</v>
      </c>
      <c r="H436">
        <v>4.5999999999999996</v>
      </c>
      <c r="I436">
        <v>8</v>
      </c>
    </row>
    <row r="437" spans="1:9" x14ac:dyDescent="0.25">
      <c r="A437" t="s">
        <v>444</v>
      </c>
      <c r="B437" t="s">
        <v>514</v>
      </c>
      <c r="C437" t="s">
        <v>521</v>
      </c>
      <c r="D437" t="s">
        <v>527</v>
      </c>
      <c r="E437">
        <v>2024</v>
      </c>
      <c r="F437">
        <v>2.69</v>
      </c>
      <c r="G437">
        <v>445</v>
      </c>
      <c r="H437">
        <v>2.8</v>
      </c>
      <c r="I437">
        <v>8</v>
      </c>
    </row>
    <row r="438" spans="1:9" x14ac:dyDescent="0.25">
      <c r="A438" t="s">
        <v>445</v>
      </c>
      <c r="B438" t="s">
        <v>516</v>
      </c>
      <c r="C438" t="s">
        <v>521</v>
      </c>
      <c r="D438" t="s">
        <v>523</v>
      </c>
      <c r="E438">
        <v>2023</v>
      </c>
      <c r="F438">
        <v>1.5</v>
      </c>
      <c r="G438">
        <v>551</v>
      </c>
      <c r="H438">
        <v>4.5999999999999996</v>
      </c>
      <c r="I438">
        <v>1</v>
      </c>
    </row>
    <row r="439" spans="1:9" x14ac:dyDescent="0.25">
      <c r="A439" t="s">
        <v>446</v>
      </c>
      <c r="B439" t="s">
        <v>509</v>
      </c>
      <c r="C439" t="s">
        <v>519</v>
      </c>
      <c r="D439" t="s">
        <v>531</v>
      </c>
      <c r="E439">
        <v>2024</v>
      </c>
      <c r="F439">
        <v>7.65</v>
      </c>
      <c r="G439">
        <v>299</v>
      </c>
      <c r="H439">
        <v>3</v>
      </c>
      <c r="I439">
        <v>3</v>
      </c>
    </row>
    <row r="440" spans="1:9" x14ac:dyDescent="0.25">
      <c r="A440" t="s">
        <v>447</v>
      </c>
      <c r="B440" t="s">
        <v>514</v>
      </c>
      <c r="C440" t="s">
        <v>521</v>
      </c>
      <c r="D440" t="s">
        <v>531</v>
      </c>
      <c r="E440">
        <v>2024</v>
      </c>
      <c r="F440">
        <v>1.47</v>
      </c>
      <c r="G440">
        <v>334</v>
      </c>
      <c r="H440">
        <v>3.1</v>
      </c>
      <c r="I440">
        <v>6</v>
      </c>
    </row>
    <row r="441" spans="1:9" x14ac:dyDescent="0.25">
      <c r="A441" t="s">
        <v>448</v>
      </c>
      <c r="B441" t="s">
        <v>518</v>
      </c>
      <c r="C441" t="s">
        <v>519</v>
      </c>
      <c r="D441" t="s">
        <v>523</v>
      </c>
      <c r="E441">
        <v>2024</v>
      </c>
      <c r="F441">
        <v>9</v>
      </c>
      <c r="G441">
        <v>199</v>
      </c>
      <c r="H441">
        <v>3.6</v>
      </c>
      <c r="I441">
        <v>2</v>
      </c>
    </row>
    <row r="442" spans="1:9" x14ac:dyDescent="0.25">
      <c r="A442" t="s">
        <v>449</v>
      </c>
      <c r="B442" t="s">
        <v>509</v>
      </c>
      <c r="C442" t="s">
        <v>519</v>
      </c>
      <c r="D442" t="s">
        <v>523</v>
      </c>
      <c r="E442">
        <v>2023</v>
      </c>
      <c r="F442">
        <v>7.81</v>
      </c>
      <c r="G442">
        <v>147</v>
      </c>
      <c r="H442">
        <v>4</v>
      </c>
      <c r="I442">
        <v>9</v>
      </c>
    </row>
    <row r="443" spans="1:9" x14ac:dyDescent="0.25">
      <c r="A443" t="s">
        <v>450</v>
      </c>
      <c r="B443" t="s">
        <v>515</v>
      </c>
      <c r="C443" t="s">
        <v>520</v>
      </c>
      <c r="D443" t="s">
        <v>523</v>
      </c>
      <c r="E443">
        <v>2023</v>
      </c>
      <c r="F443">
        <v>5.87</v>
      </c>
      <c r="G443">
        <v>61</v>
      </c>
      <c r="H443">
        <v>5</v>
      </c>
      <c r="I443">
        <v>7</v>
      </c>
    </row>
    <row r="444" spans="1:9" x14ac:dyDescent="0.25">
      <c r="A444" t="s">
        <v>451</v>
      </c>
      <c r="B444" t="s">
        <v>518</v>
      </c>
      <c r="C444" t="s">
        <v>519</v>
      </c>
      <c r="D444" t="s">
        <v>526</v>
      </c>
      <c r="E444">
        <v>2023</v>
      </c>
      <c r="F444">
        <v>5.83</v>
      </c>
      <c r="G444">
        <v>125</v>
      </c>
      <c r="H444">
        <v>4.3</v>
      </c>
      <c r="I444">
        <v>2</v>
      </c>
    </row>
    <row r="445" spans="1:9" x14ac:dyDescent="0.25">
      <c r="A445" t="s">
        <v>452</v>
      </c>
      <c r="B445" t="s">
        <v>509</v>
      </c>
      <c r="C445" t="s">
        <v>519</v>
      </c>
      <c r="D445" t="s">
        <v>527</v>
      </c>
      <c r="E445">
        <v>2024</v>
      </c>
      <c r="F445">
        <v>11.05</v>
      </c>
      <c r="G445">
        <v>150</v>
      </c>
      <c r="H445">
        <v>3.5</v>
      </c>
      <c r="I445">
        <v>3</v>
      </c>
    </row>
    <row r="446" spans="1:9" x14ac:dyDescent="0.25">
      <c r="A446" t="s">
        <v>453</v>
      </c>
      <c r="B446" t="s">
        <v>518</v>
      </c>
      <c r="C446" t="s">
        <v>519</v>
      </c>
      <c r="D446" t="s">
        <v>524</v>
      </c>
      <c r="E446">
        <v>2025</v>
      </c>
      <c r="F446">
        <v>8.51</v>
      </c>
      <c r="G446">
        <v>164</v>
      </c>
      <c r="H446">
        <v>3.6</v>
      </c>
      <c r="I446">
        <v>4</v>
      </c>
    </row>
    <row r="447" spans="1:9" x14ac:dyDescent="0.25">
      <c r="A447" t="s">
        <v>454</v>
      </c>
      <c r="B447" t="s">
        <v>518</v>
      </c>
      <c r="C447" t="s">
        <v>519</v>
      </c>
      <c r="D447" t="s">
        <v>528</v>
      </c>
      <c r="E447">
        <v>2025</v>
      </c>
      <c r="F447">
        <v>9.49</v>
      </c>
      <c r="G447">
        <v>191</v>
      </c>
      <c r="H447">
        <v>2.7</v>
      </c>
      <c r="I447">
        <v>2</v>
      </c>
    </row>
    <row r="448" spans="1:9" x14ac:dyDescent="0.25">
      <c r="A448" t="s">
        <v>455</v>
      </c>
      <c r="B448" t="s">
        <v>518</v>
      </c>
      <c r="C448" t="s">
        <v>519</v>
      </c>
      <c r="D448" t="s">
        <v>524</v>
      </c>
      <c r="E448">
        <v>2025</v>
      </c>
      <c r="F448">
        <v>9.84</v>
      </c>
      <c r="G448">
        <v>259</v>
      </c>
      <c r="H448">
        <v>4.9000000000000004</v>
      </c>
      <c r="I448">
        <v>6</v>
      </c>
    </row>
    <row r="449" spans="1:9" x14ac:dyDescent="0.25">
      <c r="A449" t="s">
        <v>456</v>
      </c>
      <c r="B449" t="s">
        <v>518</v>
      </c>
      <c r="C449" t="s">
        <v>519</v>
      </c>
      <c r="D449" t="s">
        <v>529</v>
      </c>
      <c r="E449">
        <v>2024</v>
      </c>
      <c r="F449">
        <v>9.16</v>
      </c>
      <c r="G449">
        <v>207</v>
      </c>
      <c r="H449">
        <v>3.9</v>
      </c>
      <c r="I449">
        <v>10</v>
      </c>
    </row>
    <row r="450" spans="1:9" x14ac:dyDescent="0.25">
      <c r="A450" t="s">
        <v>457</v>
      </c>
      <c r="B450" t="s">
        <v>517</v>
      </c>
      <c r="C450" t="s">
        <v>522</v>
      </c>
      <c r="D450" t="s">
        <v>532</v>
      </c>
      <c r="E450">
        <v>2025</v>
      </c>
      <c r="F450">
        <v>3.19</v>
      </c>
      <c r="G450">
        <v>354</v>
      </c>
      <c r="H450">
        <v>3</v>
      </c>
      <c r="I450">
        <v>10</v>
      </c>
    </row>
    <row r="451" spans="1:9" x14ac:dyDescent="0.25">
      <c r="A451" t="s">
        <v>458</v>
      </c>
      <c r="B451" t="s">
        <v>510</v>
      </c>
      <c r="C451" t="s">
        <v>520</v>
      </c>
      <c r="D451" t="s">
        <v>529</v>
      </c>
      <c r="E451">
        <v>2025</v>
      </c>
      <c r="F451">
        <v>3.74</v>
      </c>
      <c r="G451">
        <v>330</v>
      </c>
      <c r="H451">
        <v>2.6</v>
      </c>
      <c r="I451">
        <v>4</v>
      </c>
    </row>
    <row r="452" spans="1:9" x14ac:dyDescent="0.25">
      <c r="A452" t="s">
        <v>459</v>
      </c>
      <c r="B452" t="s">
        <v>515</v>
      </c>
      <c r="C452" t="s">
        <v>520</v>
      </c>
      <c r="D452" t="s">
        <v>528</v>
      </c>
      <c r="E452">
        <v>2023</v>
      </c>
      <c r="F452">
        <v>2.69</v>
      </c>
      <c r="G452">
        <v>326</v>
      </c>
      <c r="H452">
        <v>4</v>
      </c>
      <c r="I452">
        <v>9</v>
      </c>
    </row>
    <row r="453" spans="1:9" x14ac:dyDescent="0.25">
      <c r="A453" t="s">
        <v>460</v>
      </c>
      <c r="B453" t="s">
        <v>513</v>
      </c>
      <c r="C453" t="s">
        <v>519</v>
      </c>
      <c r="D453" t="s">
        <v>527</v>
      </c>
      <c r="E453">
        <v>2024</v>
      </c>
      <c r="F453">
        <v>5.0599999999999996</v>
      </c>
      <c r="G453">
        <v>295</v>
      </c>
      <c r="H453">
        <v>3.4</v>
      </c>
      <c r="I453">
        <v>3</v>
      </c>
    </row>
    <row r="454" spans="1:9" x14ac:dyDescent="0.25">
      <c r="A454" t="s">
        <v>461</v>
      </c>
      <c r="B454" t="s">
        <v>515</v>
      </c>
      <c r="C454" t="s">
        <v>520</v>
      </c>
      <c r="D454" t="s">
        <v>524</v>
      </c>
      <c r="E454">
        <v>2023</v>
      </c>
      <c r="F454">
        <v>5.1100000000000003</v>
      </c>
      <c r="G454">
        <v>7</v>
      </c>
      <c r="H454">
        <v>3.2</v>
      </c>
      <c r="I454">
        <v>1</v>
      </c>
    </row>
    <row r="455" spans="1:9" x14ac:dyDescent="0.25">
      <c r="A455" t="s">
        <v>462</v>
      </c>
      <c r="B455" t="s">
        <v>513</v>
      </c>
      <c r="C455" t="s">
        <v>519</v>
      </c>
      <c r="D455" t="s">
        <v>528</v>
      </c>
      <c r="E455">
        <v>2025</v>
      </c>
      <c r="F455">
        <v>6.29</v>
      </c>
      <c r="G455">
        <v>336</v>
      </c>
      <c r="H455">
        <v>4.4000000000000004</v>
      </c>
      <c r="I455">
        <v>7</v>
      </c>
    </row>
    <row r="456" spans="1:9" x14ac:dyDescent="0.25">
      <c r="A456" t="s">
        <v>463</v>
      </c>
      <c r="B456" t="s">
        <v>512</v>
      </c>
      <c r="C456" t="s">
        <v>520</v>
      </c>
      <c r="D456" t="s">
        <v>524</v>
      </c>
      <c r="E456">
        <v>2025</v>
      </c>
      <c r="F456">
        <v>4.76</v>
      </c>
      <c r="G456">
        <v>315</v>
      </c>
      <c r="H456">
        <v>2.9</v>
      </c>
      <c r="I456">
        <v>2</v>
      </c>
    </row>
    <row r="457" spans="1:9" x14ac:dyDescent="0.25">
      <c r="A457" t="s">
        <v>464</v>
      </c>
      <c r="B457" t="s">
        <v>514</v>
      </c>
      <c r="C457" t="s">
        <v>521</v>
      </c>
      <c r="D457" t="s">
        <v>524</v>
      </c>
      <c r="E457">
        <v>2025</v>
      </c>
      <c r="F457">
        <v>5.6</v>
      </c>
      <c r="G457">
        <v>563</v>
      </c>
      <c r="H457">
        <v>2.9</v>
      </c>
      <c r="I457">
        <v>6</v>
      </c>
    </row>
    <row r="458" spans="1:9" x14ac:dyDescent="0.25">
      <c r="A458" t="s">
        <v>465</v>
      </c>
      <c r="B458" t="s">
        <v>512</v>
      </c>
      <c r="C458" t="s">
        <v>520</v>
      </c>
      <c r="D458" t="s">
        <v>525</v>
      </c>
      <c r="E458">
        <v>2025</v>
      </c>
      <c r="F458">
        <v>6.34</v>
      </c>
      <c r="G458">
        <v>332</v>
      </c>
      <c r="H458">
        <v>4.2</v>
      </c>
      <c r="I458">
        <v>2</v>
      </c>
    </row>
    <row r="459" spans="1:9" x14ac:dyDescent="0.25">
      <c r="A459" t="s">
        <v>466</v>
      </c>
      <c r="B459" t="s">
        <v>514</v>
      </c>
      <c r="C459" t="s">
        <v>521</v>
      </c>
      <c r="D459" t="s">
        <v>528</v>
      </c>
      <c r="E459">
        <v>2025</v>
      </c>
      <c r="F459">
        <v>5.77</v>
      </c>
      <c r="G459">
        <v>272</v>
      </c>
      <c r="H459">
        <v>2.6</v>
      </c>
      <c r="I459">
        <v>2</v>
      </c>
    </row>
    <row r="460" spans="1:9" x14ac:dyDescent="0.25">
      <c r="A460" t="s">
        <v>467</v>
      </c>
      <c r="B460" t="s">
        <v>512</v>
      </c>
      <c r="C460" t="s">
        <v>520</v>
      </c>
      <c r="D460" t="s">
        <v>524</v>
      </c>
      <c r="E460">
        <v>2024</v>
      </c>
      <c r="F460">
        <v>5.29</v>
      </c>
      <c r="G460">
        <v>28</v>
      </c>
      <c r="H460">
        <v>3.3</v>
      </c>
      <c r="I460">
        <v>3</v>
      </c>
    </row>
    <row r="461" spans="1:9" x14ac:dyDescent="0.25">
      <c r="A461" t="s">
        <v>468</v>
      </c>
      <c r="B461" t="s">
        <v>509</v>
      </c>
      <c r="C461" t="s">
        <v>519</v>
      </c>
      <c r="D461" t="s">
        <v>523</v>
      </c>
      <c r="E461">
        <v>2025</v>
      </c>
      <c r="F461">
        <v>5.0999999999999996</v>
      </c>
      <c r="G461">
        <v>85</v>
      </c>
      <c r="H461">
        <v>2.9</v>
      </c>
      <c r="I461">
        <v>6</v>
      </c>
    </row>
    <row r="462" spans="1:9" x14ac:dyDescent="0.25">
      <c r="A462" t="s">
        <v>469</v>
      </c>
      <c r="B462" t="s">
        <v>510</v>
      </c>
      <c r="C462" t="s">
        <v>520</v>
      </c>
      <c r="D462" t="s">
        <v>530</v>
      </c>
      <c r="E462">
        <v>2025</v>
      </c>
      <c r="F462">
        <v>2.81</v>
      </c>
      <c r="G462">
        <v>190</v>
      </c>
      <c r="H462">
        <v>2.8</v>
      </c>
      <c r="I462">
        <v>5</v>
      </c>
    </row>
    <row r="463" spans="1:9" x14ac:dyDescent="0.25">
      <c r="A463" t="s">
        <v>470</v>
      </c>
      <c r="B463" t="s">
        <v>509</v>
      </c>
      <c r="C463" t="s">
        <v>519</v>
      </c>
      <c r="D463" t="s">
        <v>523</v>
      </c>
      <c r="E463">
        <v>2024</v>
      </c>
      <c r="F463">
        <v>10.46</v>
      </c>
      <c r="G463">
        <v>219</v>
      </c>
      <c r="H463">
        <v>3.8</v>
      </c>
      <c r="I463">
        <v>5</v>
      </c>
    </row>
    <row r="464" spans="1:9" x14ac:dyDescent="0.25">
      <c r="A464" t="s">
        <v>471</v>
      </c>
      <c r="B464" t="s">
        <v>517</v>
      </c>
      <c r="C464" t="s">
        <v>522</v>
      </c>
      <c r="D464" t="s">
        <v>524</v>
      </c>
      <c r="E464">
        <v>2024</v>
      </c>
      <c r="F464">
        <v>6.19</v>
      </c>
      <c r="G464">
        <v>384</v>
      </c>
      <c r="H464">
        <v>2.6</v>
      </c>
      <c r="I464">
        <v>10</v>
      </c>
    </row>
    <row r="465" spans="1:9" x14ac:dyDescent="0.25">
      <c r="A465" t="s">
        <v>472</v>
      </c>
      <c r="B465" t="s">
        <v>518</v>
      </c>
      <c r="C465" t="s">
        <v>519</v>
      </c>
      <c r="D465" t="s">
        <v>527</v>
      </c>
      <c r="E465">
        <v>2023</v>
      </c>
      <c r="F465">
        <v>6.04</v>
      </c>
      <c r="G465">
        <v>132</v>
      </c>
      <c r="H465">
        <v>4.7</v>
      </c>
      <c r="I465">
        <v>2</v>
      </c>
    </row>
    <row r="466" spans="1:9" x14ac:dyDescent="0.25">
      <c r="A466" t="s">
        <v>473</v>
      </c>
      <c r="B466" t="s">
        <v>511</v>
      </c>
      <c r="C466" t="s">
        <v>521</v>
      </c>
      <c r="D466" t="s">
        <v>530</v>
      </c>
      <c r="E466">
        <v>2023</v>
      </c>
      <c r="F466">
        <v>1.22</v>
      </c>
      <c r="G466">
        <v>591</v>
      </c>
      <c r="H466">
        <v>2.5</v>
      </c>
      <c r="I466">
        <v>1</v>
      </c>
    </row>
    <row r="467" spans="1:9" x14ac:dyDescent="0.25">
      <c r="A467" t="s">
        <v>474</v>
      </c>
      <c r="B467" t="s">
        <v>515</v>
      </c>
      <c r="C467" t="s">
        <v>520</v>
      </c>
      <c r="D467" t="s">
        <v>527</v>
      </c>
      <c r="E467">
        <v>2024</v>
      </c>
      <c r="F467">
        <v>7.44</v>
      </c>
      <c r="G467">
        <v>91</v>
      </c>
      <c r="H467">
        <v>4.8</v>
      </c>
      <c r="I467">
        <v>1</v>
      </c>
    </row>
    <row r="468" spans="1:9" x14ac:dyDescent="0.25">
      <c r="A468" t="s">
        <v>475</v>
      </c>
      <c r="B468" t="s">
        <v>510</v>
      </c>
      <c r="C468" t="s">
        <v>520</v>
      </c>
      <c r="D468" t="s">
        <v>528</v>
      </c>
      <c r="E468">
        <v>2023</v>
      </c>
      <c r="F468">
        <v>3.25</v>
      </c>
      <c r="G468">
        <v>213</v>
      </c>
      <c r="H468">
        <v>4.8</v>
      </c>
      <c r="I468">
        <v>6</v>
      </c>
    </row>
    <row r="469" spans="1:9" x14ac:dyDescent="0.25">
      <c r="A469" t="s">
        <v>476</v>
      </c>
      <c r="B469" t="s">
        <v>514</v>
      </c>
      <c r="C469" t="s">
        <v>521</v>
      </c>
      <c r="D469" t="s">
        <v>524</v>
      </c>
      <c r="E469">
        <v>2025</v>
      </c>
      <c r="F469">
        <v>2.86</v>
      </c>
      <c r="G469">
        <v>407</v>
      </c>
      <c r="H469">
        <v>4.2</v>
      </c>
      <c r="I469">
        <v>1</v>
      </c>
    </row>
    <row r="470" spans="1:9" x14ac:dyDescent="0.25">
      <c r="A470" t="s">
        <v>477</v>
      </c>
      <c r="B470" t="s">
        <v>518</v>
      </c>
      <c r="C470" t="s">
        <v>519</v>
      </c>
      <c r="D470" t="s">
        <v>529</v>
      </c>
      <c r="E470">
        <v>2025</v>
      </c>
      <c r="F470">
        <v>11.85</v>
      </c>
      <c r="G470">
        <v>285</v>
      </c>
      <c r="H470">
        <v>2.7</v>
      </c>
      <c r="I470">
        <v>8</v>
      </c>
    </row>
    <row r="471" spans="1:9" x14ac:dyDescent="0.25">
      <c r="A471" t="s">
        <v>478</v>
      </c>
      <c r="B471" t="s">
        <v>514</v>
      </c>
      <c r="C471" t="s">
        <v>521</v>
      </c>
      <c r="D471" t="s">
        <v>532</v>
      </c>
      <c r="E471">
        <v>2024</v>
      </c>
      <c r="F471">
        <v>1.43</v>
      </c>
      <c r="G471">
        <v>383</v>
      </c>
      <c r="H471">
        <v>2.5</v>
      </c>
      <c r="I471">
        <v>4</v>
      </c>
    </row>
    <row r="472" spans="1:9" x14ac:dyDescent="0.25">
      <c r="A472" t="s">
        <v>479</v>
      </c>
      <c r="B472" t="s">
        <v>514</v>
      </c>
      <c r="C472" t="s">
        <v>521</v>
      </c>
      <c r="D472" t="s">
        <v>525</v>
      </c>
      <c r="E472">
        <v>2024</v>
      </c>
      <c r="F472">
        <v>4.7</v>
      </c>
      <c r="G472">
        <v>274</v>
      </c>
      <c r="H472">
        <v>3.7</v>
      </c>
      <c r="I472">
        <v>10</v>
      </c>
    </row>
    <row r="473" spans="1:9" x14ac:dyDescent="0.25">
      <c r="A473" t="s">
        <v>480</v>
      </c>
      <c r="B473" t="s">
        <v>515</v>
      </c>
      <c r="C473" t="s">
        <v>520</v>
      </c>
      <c r="D473" t="s">
        <v>529</v>
      </c>
      <c r="E473">
        <v>2025</v>
      </c>
      <c r="F473">
        <v>7.3</v>
      </c>
      <c r="G473">
        <v>125</v>
      </c>
      <c r="H473">
        <v>2.9</v>
      </c>
      <c r="I473">
        <v>7</v>
      </c>
    </row>
    <row r="474" spans="1:9" x14ac:dyDescent="0.25">
      <c r="A474" t="s">
        <v>481</v>
      </c>
      <c r="B474" t="s">
        <v>513</v>
      </c>
      <c r="C474" t="s">
        <v>519</v>
      </c>
      <c r="D474" t="s">
        <v>529</v>
      </c>
      <c r="E474">
        <v>2025</v>
      </c>
      <c r="F474">
        <v>6.77</v>
      </c>
      <c r="G474">
        <v>84</v>
      </c>
      <c r="H474">
        <v>4.9000000000000004</v>
      </c>
      <c r="I474">
        <v>1</v>
      </c>
    </row>
    <row r="475" spans="1:9" x14ac:dyDescent="0.25">
      <c r="A475" t="s">
        <v>482</v>
      </c>
      <c r="B475" t="s">
        <v>512</v>
      </c>
      <c r="C475" t="s">
        <v>520</v>
      </c>
      <c r="D475" t="s">
        <v>532</v>
      </c>
      <c r="E475">
        <v>2023</v>
      </c>
      <c r="F475">
        <v>2.44</v>
      </c>
      <c r="G475">
        <v>121</v>
      </c>
      <c r="H475">
        <v>3.5</v>
      </c>
      <c r="I475">
        <v>1</v>
      </c>
    </row>
    <row r="476" spans="1:9" x14ac:dyDescent="0.25">
      <c r="A476" t="s">
        <v>483</v>
      </c>
      <c r="B476" t="s">
        <v>518</v>
      </c>
      <c r="C476" t="s">
        <v>519</v>
      </c>
      <c r="D476" t="s">
        <v>532</v>
      </c>
      <c r="E476">
        <v>2023</v>
      </c>
      <c r="F476">
        <v>4.3499999999999996</v>
      </c>
      <c r="G476">
        <v>198</v>
      </c>
      <c r="H476">
        <v>4.7</v>
      </c>
      <c r="I476">
        <v>9</v>
      </c>
    </row>
    <row r="477" spans="1:9" x14ac:dyDescent="0.25">
      <c r="A477" t="s">
        <v>484</v>
      </c>
      <c r="B477" t="s">
        <v>512</v>
      </c>
      <c r="C477" t="s">
        <v>520</v>
      </c>
      <c r="D477" t="s">
        <v>527</v>
      </c>
      <c r="E477">
        <v>2024</v>
      </c>
      <c r="F477">
        <v>7.82</v>
      </c>
      <c r="G477">
        <v>43</v>
      </c>
      <c r="H477">
        <v>4</v>
      </c>
      <c r="I477">
        <v>9</v>
      </c>
    </row>
    <row r="478" spans="1:9" x14ac:dyDescent="0.25">
      <c r="A478" t="s">
        <v>485</v>
      </c>
      <c r="B478" t="s">
        <v>518</v>
      </c>
      <c r="C478" t="s">
        <v>519</v>
      </c>
      <c r="D478" t="s">
        <v>528</v>
      </c>
      <c r="E478">
        <v>2023</v>
      </c>
      <c r="F478">
        <v>8.74</v>
      </c>
      <c r="G478">
        <v>111</v>
      </c>
      <c r="H478">
        <v>3.6</v>
      </c>
      <c r="I478">
        <v>3</v>
      </c>
    </row>
    <row r="479" spans="1:9" x14ac:dyDescent="0.25">
      <c r="A479" t="s">
        <v>486</v>
      </c>
      <c r="B479" t="s">
        <v>511</v>
      </c>
      <c r="C479" t="s">
        <v>521</v>
      </c>
      <c r="D479" t="s">
        <v>532</v>
      </c>
      <c r="E479">
        <v>2024</v>
      </c>
      <c r="F479">
        <v>5.25</v>
      </c>
      <c r="G479">
        <v>560</v>
      </c>
      <c r="H479">
        <v>3.5</v>
      </c>
      <c r="I479">
        <v>6</v>
      </c>
    </row>
    <row r="480" spans="1:9" x14ac:dyDescent="0.25">
      <c r="A480" t="s">
        <v>487</v>
      </c>
      <c r="B480" t="s">
        <v>516</v>
      </c>
      <c r="C480" t="s">
        <v>521</v>
      </c>
      <c r="D480" t="s">
        <v>526</v>
      </c>
      <c r="E480">
        <v>2024</v>
      </c>
      <c r="F480">
        <v>2.17</v>
      </c>
      <c r="G480">
        <v>253</v>
      </c>
      <c r="H480">
        <v>2.8</v>
      </c>
      <c r="I480">
        <v>10</v>
      </c>
    </row>
    <row r="481" spans="1:9" x14ac:dyDescent="0.25">
      <c r="A481" t="s">
        <v>488</v>
      </c>
      <c r="B481" t="s">
        <v>509</v>
      </c>
      <c r="C481" t="s">
        <v>519</v>
      </c>
      <c r="D481" t="s">
        <v>531</v>
      </c>
      <c r="E481">
        <v>2023</v>
      </c>
      <c r="F481">
        <v>5.31</v>
      </c>
      <c r="G481">
        <v>318</v>
      </c>
      <c r="H481">
        <v>3.3</v>
      </c>
      <c r="I481">
        <v>2</v>
      </c>
    </row>
    <row r="482" spans="1:9" x14ac:dyDescent="0.25">
      <c r="A482" t="s">
        <v>489</v>
      </c>
      <c r="B482" t="s">
        <v>510</v>
      </c>
      <c r="C482" t="s">
        <v>520</v>
      </c>
      <c r="D482" t="s">
        <v>527</v>
      </c>
      <c r="E482">
        <v>2023</v>
      </c>
      <c r="F482">
        <v>4.16</v>
      </c>
      <c r="G482">
        <v>237</v>
      </c>
      <c r="H482">
        <v>3.2</v>
      </c>
      <c r="I482">
        <v>2</v>
      </c>
    </row>
    <row r="483" spans="1:9" x14ac:dyDescent="0.25">
      <c r="A483" t="s">
        <v>490</v>
      </c>
      <c r="B483" t="s">
        <v>509</v>
      </c>
      <c r="C483" t="s">
        <v>519</v>
      </c>
      <c r="D483" t="s">
        <v>531</v>
      </c>
      <c r="E483">
        <v>2025</v>
      </c>
      <c r="F483">
        <v>6.43</v>
      </c>
      <c r="G483">
        <v>100</v>
      </c>
      <c r="H483">
        <v>3</v>
      </c>
      <c r="I483">
        <v>6</v>
      </c>
    </row>
    <row r="484" spans="1:9" x14ac:dyDescent="0.25">
      <c r="A484" t="s">
        <v>491</v>
      </c>
      <c r="B484" t="s">
        <v>518</v>
      </c>
      <c r="C484" t="s">
        <v>519</v>
      </c>
      <c r="D484" t="s">
        <v>524</v>
      </c>
      <c r="E484">
        <v>2025</v>
      </c>
      <c r="F484">
        <v>5.99</v>
      </c>
      <c r="G484">
        <v>262</v>
      </c>
      <c r="H484">
        <v>3.5</v>
      </c>
      <c r="I484">
        <v>1</v>
      </c>
    </row>
    <row r="485" spans="1:9" x14ac:dyDescent="0.25">
      <c r="A485" t="s">
        <v>492</v>
      </c>
      <c r="B485" t="s">
        <v>514</v>
      </c>
      <c r="C485" t="s">
        <v>521</v>
      </c>
      <c r="D485" t="s">
        <v>532</v>
      </c>
      <c r="E485">
        <v>2023</v>
      </c>
      <c r="F485">
        <v>1.1599999999999999</v>
      </c>
      <c r="G485">
        <v>357</v>
      </c>
      <c r="H485">
        <v>4.5999999999999996</v>
      </c>
      <c r="I485">
        <v>9</v>
      </c>
    </row>
    <row r="486" spans="1:9" x14ac:dyDescent="0.25">
      <c r="A486" t="s">
        <v>493</v>
      </c>
      <c r="B486" t="s">
        <v>510</v>
      </c>
      <c r="C486" t="s">
        <v>520</v>
      </c>
      <c r="D486" t="s">
        <v>529</v>
      </c>
      <c r="E486">
        <v>2023</v>
      </c>
      <c r="F486">
        <v>4.2300000000000004</v>
      </c>
      <c r="G486">
        <v>71</v>
      </c>
      <c r="H486">
        <v>2.8</v>
      </c>
      <c r="I486">
        <v>1</v>
      </c>
    </row>
    <row r="487" spans="1:9" x14ac:dyDescent="0.25">
      <c r="A487" t="s">
        <v>494</v>
      </c>
      <c r="B487" t="s">
        <v>511</v>
      </c>
      <c r="C487" t="s">
        <v>521</v>
      </c>
      <c r="D487" t="s">
        <v>531</v>
      </c>
      <c r="E487">
        <v>2023</v>
      </c>
      <c r="F487">
        <v>5.12</v>
      </c>
      <c r="G487">
        <v>340</v>
      </c>
      <c r="H487">
        <v>4.2</v>
      </c>
      <c r="I487">
        <v>2</v>
      </c>
    </row>
    <row r="488" spans="1:9" x14ac:dyDescent="0.25">
      <c r="A488" t="s">
        <v>495</v>
      </c>
      <c r="B488" t="s">
        <v>517</v>
      </c>
      <c r="C488" t="s">
        <v>522</v>
      </c>
      <c r="D488" t="s">
        <v>525</v>
      </c>
      <c r="E488">
        <v>2024</v>
      </c>
      <c r="F488">
        <v>9.42</v>
      </c>
      <c r="G488">
        <v>238</v>
      </c>
      <c r="H488">
        <v>2.6</v>
      </c>
      <c r="I488">
        <v>2</v>
      </c>
    </row>
    <row r="489" spans="1:9" x14ac:dyDescent="0.25">
      <c r="A489" t="s">
        <v>496</v>
      </c>
      <c r="B489" t="s">
        <v>511</v>
      </c>
      <c r="C489" t="s">
        <v>521</v>
      </c>
      <c r="D489" t="s">
        <v>526</v>
      </c>
      <c r="E489">
        <v>2023</v>
      </c>
      <c r="F489">
        <v>1.46</v>
      </c>
      <c r="G489">
        <v>583</v>
      </c>
      <c r="H489">
        <v>4.5999999999999996</v>
      </c>
      <c r="I489">
        <v>6</v>
      </c>
    </row>
    <row r="490" spans="1:9" x14ac:dyDescent="0.25">
      <c r="A490" t="s">
        <v>497</v>
      </c>
      <c r="B490" t="s">
        <v>509</v>
      </c>
      <c r="C490" t="s">
        <v>519</v>
      </c>
      <c r="D490" t="s">
        <v>523</v>
      </c>
      <c r="E490">
        <v>2024</v>
      </c>
      <c r="F490">
        <v>4.41</v>
      </c>
      <c r="G490">
        <v>301</v>
      </c>
      <c r="H490">
        <v>4.5999999999999996</v>
      </c>
      <c r="I490">
        <v>7</v>
      </c>
    </row>
    <row r="491" spans="1:9" x14ac:dyDescent="0.25">
      <c r="A491" t="s">
        <v>498</v>
      </c>
      <c r="B491" t="s">
        <v>515</v>
      </c>
      <c r="C491" t="s">
        <v>520</v>
      </c>
      <c r="D491" t="s">
        <v>523</v>
      </c>
      <c r="E491">
        <v>2024</v>
      </c>
      <c r="F491">
        <v>5.78</v>
      </c>
      <c r="G491">
        <v>88</v>
      </c>
      <c r="H491">
        <v>3.4</v>
      </c>
      <c r="I491">
        <v>3</v>
      </c>
    </row>
    <row r="492" spans="1:9" x14ac:dyDescent="0.25">
      <c r="A492" t="s">
        <v>499</v>
      </c>
      <c r="B492" t="s">
        <v>514</v>
      </c>
      <c r="C492" t="s">
        <v>521</v>
      </c>
      <c r="D492" t="s">
        <v>532</v>
      </c>
      <c r="E492">
        <v>2024</v>
      </c>
      <c r="F492">
        <v>5.42</v>
      </c>
      <c r="G492">
        <v>167</v>
      </c>
      <c r="H492">
        <v>4</v>
      </c>
      <c r="I492">
        <v>10</v>
      </c>
    </row>
    <row r="493" spans="1:9" x14ac:dyDescent="0.25">
      <c r="A493" t="s">
        <v>500</v>
      </c>
      <c r="B493" t="s">
        <v>511</v>
      </c>
      <c r="C493" t="s">
        <v>521</v>
      </c>
      <c r="D493" t="s">
        <v>532</v>
      </c>
      <c r="E493">
        <v>2024</v>
      </c>
      <c r="F493">
        <v>3.06</v>
      </c>
      <c r="G493">
        <v>431</v>
      </c>
      <c r="H493">
        <v>3.7</v>
      </c>
      <c r="I493">
        <v>2</v>
      </c>
    </row>
    <row r="494" spans="1:9" x14ac:dyDescent="0.25">
      <c r="A494" t="s">
        <v>501</v>
      </c>
      <c r="B494" t="s">
        <v>514</v>
      </c>
      <c r="C494" t="s">
        <v>521</v>
      </c>
      <c r="D494" t="s">
        <v>528</v>
      </c>
      <c r="E494">
        <v>2023</v>
      </c>
      <c r="F494">
        <v>3.1</v>
      </c>
      <c r="G494">
        <v>479</v>
      </c>
      <c r="H494">
        <v>4.7</v>
      </c>
      <c r="I494">
        <v>9</v>
      </c>
    </row>
    <row r="495" spans="1:9" x14ac:dyDescent="0.25">
      <c r="A495" t="s">
        <v>502</v>
      </c>
      <c r="B495" t="s">
        <v>511</v>
      </c>
      <c r="C495" t="s">
        <v>521</v>
      </c>
      <c r="D495" t="s">
        <v>530</v>
      </c>
      <c r="E495">
        <v>2023</v>
      </c>
      <c r="F495">
        <v>5.95</v>
      </c>
      <c r="G495">
        <v>550</v>
      </c>
      <c r="H495">
        <v>4.3</v>
      </c>
      <c r="I495">
        <v>8</v>
      </c>
    </row>
    <row r="496" spans="1:9" x14ac:dyDescent="0.25">
      <c r="A496" t="s">
        <v>503</v>
      </c>
      <c r="B496" t="s">
        <v>510</v>
      </c>
      <c r="C496" t="s">
        <v>520</v>
      </c>
      <c r="D496" t="s">
        <v>526</v>
      </c>
      <c r="E496">
        <v>2024</v>
      </c>
      <c r="F496">
        <v>7.39</v>
      </c>
      <c r="G496">
        <v>257</v>
      </c>
      <c r="H496">
        <v>3.3</v>
      </c>
      <c r="I496">
        <v>5</v>
      </c>
    </row>
    <row r="497" spans="1:9" x14ac:dyDescent="0.25">
      <c r="A497" t="s">
        <v>504</v>
      </c>
      <c r="B497" t="s">
        <v>518</v>
      </c>
      <c r="C497" t="s">
        <v>519</v>
      </c>
      <c r="D497" t="s">
        <v>523</v>
      </c>
      <c r="E497">
        <v>2024</v>
      </c>
      <c r="F497">
        <v>8.7799999999999994</v>
      </c>
      <c r="G497">
        <v>95</v>
      </c>
      <c r="H497">
        <v>4.7</v>
      </c>
      <c r="I497">
        <v>5</v>
      </c>
    </row>
    <row r="498" spans="1:9" x14ac:dyDescent="0.25">
      <c r="A498" t="s">
        <v>505</v>
      </c>
      <c r="B498" t="s">
        <v>513</v>
      </c>
      <c r="C498" t="s">
        <v>519</v>
      </c>
      <c r="D498" t="s">
        <v>526</v>
      </c>
      <c r="E498">
        <v>2025</v>
      </c>
      <c r="F498">
        <v>6.86</v>
      </c>
      <c r="G498">
        <v>199</v>
      </c>
      <c r="H498">
        <v>4.9000000000000004</v>
      </c>
      <c r="I498">
        <v>2</v>
      </c>
    </row>
    <row r="499" spans="1:9" x14ac:dyDescent="0.25">
      <c r="A499" t="s">
        <v>506</v>
      </c>
      <c r="B499" t="s">
        <v>511</v>
      </c>
      <c r="C499" t="s">
        <v>521</v>
      </c>
      <c r="D499" t="s">
        <v>529</v>
      </c>
      <c r="E499">
        <v>2024</v>
      </c>
      <c r="F499">
        <v>3.67</v>
      </c>
      <c r="G499">
        <v>555</v>
      </c>
      <c r="H499">
        <v>4.8</v>
      </c>
      <c r="I499">
        <v>1</v>
      </c>
    </row>
    <row r="500" spans="1:9" x14ac:dyDescent="0.25">
      <c r="A500" t="s">
        <v>507</v>
      </c>
      <c r="B500" t="s">
        <v>511</v>
      </c>
      <c r="C500" t="s">
        <v>521</v>
      </c>
      <c r="D500" t="s">
        <v>525</v>
      </c>
      <c r="E500">
        <v>2024</v>
      </c>
      <c r="F500">
        <v>2.77</v>
      </c>
      <c r="G500">
        <v>579</v>
      </c>
      <c r="H500">
        <v>5</v>
      </c>
      <c r="I500">
        <v>3</v>
      </c>
    </row>
    <row r="501" spans="1:9" x14ac:dyDescent="0.25">
      <c r="A501" t="s">
        <v>508</v>
      </c>
      <c r="B501" t="s">
        <v>518</v>
      </c>
      <c r="C501" t="s">
        <v>519</v>
      </c>
      <c r="D501" t="s">
        <v>529</v>
      </c>
      <c r="E501">
        <v>2025</v>
      </c>
      <c r="F501">
        <v>6.54</v>
      </c>
      <c r="G501">
        <v>263</v>
      </c>
      <c r="H501">
        <v>4.8</v>
      </c>
      <c r="I501">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A9FC35-4676-4957-9906-C278B5C306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15</vt:i4>
      </vt:variant>
    </vt:vector>
  </HeadingPairs>
  <TitlesOfParts>
    <vt:vector size="21" baseType="lpstr">
      <vt:lpstr>Home</vt:lpstr>
      <vt:lpstr>Preference &amp; Pricing Insight</vt:lpstr>
      <vt:lpstr>Summary</vt:lpstr>
      <vt:lpstr>overview EDA</vt:lpstr>
      <vt:lpstr>Preference &amp; Pricing EDA</vt:lpstr>
      <vt:lpstr>Table</vt:lpstr>
      <vt:lpstr>Average_Calories</vt:lpstr>
      <vt:lpstr>Average_Popularity_score</vt:lpstr>
      <vt:lpstr>Average_Rating</vt:lpstr>
      <vt:lpstr>Calories_info</vt:lpstr>
      <vt:lpstr>Drink</vt:lpstr>
      <vt:lpstr>Drink_Info</vt:lpstr>
      <vt:lpstr>Highest_Rated_food</vt:lpstr>
      <vt:lpstr>Popularity_info</vt:lpstr>
      <vt:lpstr>Popularity_info_low</vt:lpstr>
      <vt:lpstr>Region_info</vt:lpstr>
      <vt:lpstr>Snack</vt:lpstr>
      <vt:lpstr>Snack_Info</vt:lpstr>
      <vt:lpstr>Soup</vt:lpstr>
      <vt:lpstr>Soup_info</vt:lpstr>
      <vt:lpstr>Total_Count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Naheemat Akinyemi</cp:lastModifiedBy>
  <dcterms:created xsi:type="dcterms:W3CDTF">2026-03-16T13:31:38Z</dcterms:created>
  <dcterms:modified xsi:type="dcterms:W3CDTF">2026-03-22T10:23:13Z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2026-03-16T15:26:43Z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84dfb8f9-f312-4954-9e99-f3f71183d6f1</vt:lpwstr>
  </property>
  <property fmtid="{D5CDD505-2E9C-101B-9397-08002B2CF9AE}" pid="7" name="MSIP_Label_defa4170-0d19-0005-0004-bc88714345d2_ActionId">
    <vt:lpwstr>784170a3-fd1f-43a4-ad91-60ae2938e29e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